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8_{027A0379-94F5-469F-9D83-3CAAE53A4024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Active" sheetId="1" r:id="rId1"/>
    <sheet name="released" sheetId="2" r:id="rId2"/>
    <sheet name="Merge_Data" sheetId="4" r:id="rId3"/>
    <sheet name="Dashboard" sheetId="3" r:id="rId4"/>
  </sheets>
  <calcPr calcId="191028"/>
  <pivotCaches>
    <pivotCache cacheId="13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5" i="4" l="1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2" i="2"/>
</calcChain>
</file>

<file path=xl/sharedStrings.xml><?xml version="1.0" encoding="utf-8"?>
<sst xmlns="http://schemas.openxmlformats.org/spreadsheetml/2006/main" count="3027" uniqueCount="785">
  <si>
    <t>Active_ID</t>
  </si>
  <si>
    <t>Dates</t>
  </si>
  <si>
    <t>Customer Name</t>
  </si>
  <si>
    <t>Amount</t>
  </si>
  <si>
    <t>0</t>
  </si>
  <si>
    <t>Status</t>
  </si>
  <si>
    <t>ACT001</t>
  </si>
  <si>
    <t>Selaboyina Venkata Ramanna</t>
  </si>
  <si>
    <t>Active</t>
  </si>
  <si>
    <t>ACT002</t>
  </si>
  <si>
    <t>Nandigam Venkateswarao</t>
  </si>
  <si>
    <t>ACT003</t>
  </si>
  <si>
    <t>M.Radhakrishna</t>
  </si>
  <si>
    <t>ACT004</t>
  </si>
  <si>
    <t>B.Sunil Kumar</t>
  </si>
  <si>
    <t>ACT005</t>
  </si>
  <si>
    <t>ACT006</t>
  </si>
  <si>
    <t>Vanga Srinivas</t>
  </si>
  <si>
    <t>ACT007</t>
  </si>
  <si>
    <t>Agandi Devi</t>
  </si>
  <si>
    <t>ACT008</t>
  </si>
  <si>
    <t>Koyi Ramesh</t>
  </si>
  <si>
    <t>ACT009</t>
  </si>
  <si>
    <t>Palivela Satish</t>
  </si>
  <si>
    <t>ACT010</t>
  </si>
  <si>
    <t>Yarlagadda Satish</t>
  </si>
  <si>
    <t>ACT011</t>
  </si>
  <si>
    <t>Nagarla Satyavathi</t>
  </si>
  <si>
    <t>ACT012</t>
  </si>
  <si>
    <t>Pallam Durga</t>
  </si>
  <si>
    <t>ACT013</t>
  </si>
  <si>
    <t>Chamchala Muthayavathi</t>
  </si>
  <si>
    <t>ACT014</t>
  </si>
  <si>
    <t>Yella Yesurathnam</t>
  </si>
  <si>
    <t>ACT015</t>
  </si>
  <si>
    <t>Doddla Kondalaravu</t>
  </si>
  <si>
    <t>ACT016</t>
  </si>
  <si>
    <t>Sk Sabana(In Shop)</t>
  </si>
  <si>
    <t>ACT017</t>
  </si>
  <si>
    <t>M.Rama Sai Krishna</t>
  </si>
  <si>
    <t>ACT018</t>
  </si>
  <si>
    <t>Rowthu Venkata Ramana</t>
  </si>
  <si>
    <t>ACT019</t>
  </si>
  <si>
    <t>Saka Sarath Chandra</t>
  </si>
  <si>
    <t>ACT020</t>
  </si>
  <si>
    <t>Pichi Parivesi</t>
  </si>
  <si>
    <t>ACT021</t>
  </si>
  <si>
    <t>ACT022</t>
  </si>
  <si>
    <t>Karinki Nagu</t>
  </si>
  <si>
    <t>ACT023</t>
  </si>
  <si>
    <t xml:space="preserve">Vanga Srinivas </t>
  </si>
  <si>
    <t>ACT024</t>
  </si>
  <si>
    <t>Tatina Srinivas</t>
  </si>
  <si>
    <t>ACT025</t>
  </si>
  <si>
    <t>Katam Prakash</t>
  </si>
  <si>
    <t>ACT026</t>
  </si>
  <si>
    <t>Chenavarapu Raja</t>
  </si>
  <si>
    <t>ACT027</t>
  </si>
  <si>
    <t>V.Venkatesh</t>
  </si>
  <si>
    <t>ACT028</t>
  </si>
  <si>
    <t>ACT029</t>
  </si>
  <si>
    <t>K.M.Kaliesh</t>
  </si>
  <si>
    <t>ACT030</t>
  </si>
  <si>
    <t>Dake Lakshman Rao</t>
  </si>
  <si>
    <t>ACT031</t>
  </si>
  <si>
    <t>Kannaji Annapurna</t>
  </si>
  <si>
    <t>ACT032</t>
  </si>
  <si>
    <t>Sira Ramalakshmi</t>
  </si>
  <si>
    <t>ACT033</t>
  </si>
  <si>
    <t>Ch.Balaji</t>
  </si>
  <si>
    <t>ACT034</t>
  </si>
  <si>
    <t>Annabathula Lakshmi Narayana</t>
  </si>
  <si>
    <t>ACT035</t>
  </si>
  <si>
    <t>Margani Nagendra</t>
  </si>
  <si>
    <t>ACT036</t>
  </si>
  <si>
    <t>Vaddi Shiva Vara Prasad</t>
  </si>
  <si>
    <t>ACT037</t>
  </si>
  <si>
    <t>ACT038</t>
  </si>
  <si>
    <t>J.Santhakumar</t>
  </si>
  <si>
    <t>ACT039</t>
  </si>
  <si>
    <t xml:space="preserve">G.Subramanayam </t>
  </si>
  <si>
    <t>ACT040</t>
  </si>
  <si>
    <t>Bontha Vijayalakshmi</t>
  </si>
  <si>
    <t>ACT041</t>
  </si>
  <si>
    <t>Jale Nagaraju</t>
  </si>
  <si>
    <t>ACT042</t>
  </si>
  <si>
    <t>Geddada Yeshoshava</t>
  </si>
  <si>
    <t>ACT043</t>
  </si>
  <si>
    <t>B.Krishna Kumari</t>
  </si>
  <si>
    <t>ACT044</t>
  </si>
  <si>
    <t>Katreddy Subramanayam</t>
  </si>
  <si>
    <t>ACT045</t>
  </si>
  <si>
    <t>ACT046</t>
  </si>
  <si>
    <t>Pilli Srinivas</t>
  </si>
  <si>
    <t>ACT047</t>
  </si>
  <si>
    <t>Pollireddy Shiva Sankar</t>
  </si>
  <si>
    <t>ACT048</t>
  </si>
  <si>
    <t>Kambala Ganga Raju</t>
  </si>
  <si>
    <t>ACT049</t>
  </si>
  <si>
    <t>ACT050</t>
  </si>
  <si>
    <t>ACT051</t>
  </si>
  <si>
    <t>Vetla Durgamma</t>
  </si>
  <si>
    <t>ACT052</t>
  </si>
  <si>
    <t>Billi Nani Babu</t>
  </si>
  <si>
    <t>ACT053</t>
  </si>
  <si>
    <t>Challapalli Ashwini</t>
  </si>
  <si>
    <t>ACT054</t>
  </si>
  <si>
    <t>Madila Raju</t>
  </si>
  <si>
    <t>ACT055</t>
  </si>
  <si>
    <t>Attili Manohar</t>
  </si>
  <si>
    <t>ACT056</t>
  </si>
  <si>
    <t>Giddeda Yahovan</t>
  </si>
  <si>
    <t>ACT057</t>
  </si>
  <si>
    <t>M.Gopi</t>
  </si>
  <si>
    <t>ACT058</t>
  </si>
  <si>
    <t>Juttiga Annavaram</t>
  </si>
  <si>
    <t>ACT059</t>
  </si>
  <si>
    <t>Korada Lakshmi</t>
  </si>
  <si>
    <t>ACT060</t>
  </si>
  <si>
    <t>Koya Hari Venkat Mani Kumar</t>
  </si>
  <si>
    <t>ACT061</t>
  </si>
  <si>
    <t>Koyi Achamma</t>
  </si>
  <si>
    <t>ACT062</t>
  </si>
  <si>
    <t>S.K Mehaboob Jani</t>
  </si>
  <si>
    <t>ACT063</t>
  </si>
  <si>
    <t>Borra Sadhumani</t>
  </si>
  <si>
    <t>ACT064</t>
  </si>
  <si>
    <t>Sk Shammi</t>
  </si>
  <si>
    <t>ACT065</t>
  </si>
  <si>
    <t>Ch Sudheer Kumar</t>
  </si>
  <si>
    <t>ACT066</t>
  </si>
  <si>
    <t>Padala Sai Murali</t>
  </si>
  <si>
    <t>ACT067</t>
  </si>
  <si>
    <t>Rowthu Vasanth Kumar</t>
  </si>
  <si>
    <t>ACT068</t>
  </si>
  <si>
    <t>Kodi Suresh</t>
  </si>
  <si>
    <t>ACT069</t>
  </si>
  <si>
    <t>Varasala Abraham Lincoln</t>
  </si>
  <si>
    <t>ACT070</t>
  </si>
  <si>
    <t>Md.Arif</t>
  </si>
  <si>
    <t>ACT071</t>
  </si>
  <si>
    <t>Kallem Prakesh Kumar</t>
  </si>
  <si>
    <t>ACT072</t>
  </si>
  <si>
    <t>Samkurathri Satyanarayana</t>
  </si>
  <si>
    <t>ACT073</t>
  </si>
  <si>
    <t>Dasari Bujji Babu</t>
  </si>
  <si>
    <t>ACT074</t>
  </si>
  <si>
    <t>Vendra Phanedra Kumar</t>
  </si>
  <si>
    <t>ACT075</t>
  </si>
  <si>
    <t>Chittidi Dhrani Kumar</t>
  </si>
  <si>
    <t>ACT076</t>
  </si>
  <si>
    <t>Roja Nagalakshmi</t>
  </si>
  <si>
    <t>ACT077</t>
  </si>
  <si>
    <t>B.Asha Rani</t>
  </si>
  <si>
    <t>ACT078</t>
  </si>
  <si>
    <t>Ambati Annavaram</t>
  </si>
  <si>
    <t>ACT079</t>
  </si>
  <si>
    <t>ACT080</t>
  </si>
  <si>
    <t>Sk Shahidha</t>
  </si>
  <si>
    <t>ACT081</t>
  </si>
  <si>
    <t>Koya Ramesh</t>
  </si>
  <si>
    <t>ACT082</t>
  </si>
  <si>
    <t>P.Venkateshwar Rao</t>
  </si>
  <si>
    <t>ACT083</t>
  </si>
  <si>
    <t>Gade Vijaya Lakshmi</t>
  </si>
  <si>
    <t>ACT084</t>
  </si>
  <si>
    <t>K.Rama Satish</t>
  </si>
  <si>
    <t>ACT085</t>
  </si>
  <si>
    <t>Dake Veerapapa</t>
  </si>
  <si>
    <t>ACT086</t>
  </si>
  <si>
    <t>Sani Padmavathi</t>
  </si>
  <si>
    <t>ACT087</t>
  </si>
  <si>
    <t>M.Daniel</t>
  </si>
  <si>
    <t>ACT088</t>
  </si>
  <si>
    <t>Jalli Satyavathi</t>
  </si>
  <si>
    <t>ACT089</t>
  </si>
  <si>
    <t>Gulli Posikala</t>
  </si>
  <si>
    <t>ACT090</t>
  </si>
  <si>
    <t>Kandavalli Ramu</t>
  </si>
  <si>
    <t>ACT091</t>
  </si>
  <si>
    <t>Chapala Baby</t>
  </si>
  <si>
    <t>ACT092</t>
  </si>
  <si>
    <t>Palakurthi Raju</t>
  </si>
  <si>
    <t>ACT093</t>
  </si>
  <si>
    <t>P.Ganapathi</t>
  </si>
  <si>
    <t>ACT094</t>
  </si>
  <si>
    <t>J.Nagaraju</t>
  </si>
  <si>
    <t>ACT095</t>
  </si>
  <si>
    <t>V.Sattibabu</t>
  </si>
  <si>
    <t>ACT096</t>
  </si>
  <si>
    <t>Karinki Naveen</t>
  </si>
  <si>
    <t>ACT097</t>
  </si>
  <si>
    <t>M.Rambabu</t>
  </si>
  <si>
    <t>ACT098</t>
  </si>
  <si>
    <t>Sk.Irfan</t>
  </si>
  <si>
    <t>ACT099</t>
  </si>
  <si>
    <t>K.Asha Rani</t>
  </si>
  <si>
    <t>ACT100</t>
  </si>
  <si>
    <t>Edara Veera Raghavalu</t>
  </si>
  <si>
    <t>ACT101</t>
  </si>
  <si>
    <t>Mutham Rambabu</t>
  </si>
  <si>
    <t>ACT102</t>
  </si>
  <si>
    <t>M.Pramod Kumar</t>
  </si>
  <si>
    <t>ACT103</t>
  </si>
  <si>
    <t>Vasireddy Satti Babu(Box)</t>
  </si>
  <si>
    <t>ACT104</t>
  </si>
  <si>
    <t>Illi Puspha Kumari</t>
  </si>
  <si>
    <t>ACT105</t>
  </si>
  <si>
    <t>Sk.Nazarin</t>
  </si>
  <si>
    <t>ACT106</t>
  </si>
  <si>
    <t>ACT107</t>
  </si>
  <si>
    <t>Undavalli Srinivas</t>
  </si>
  <si>
    <t>ACT108</t>
  </si>
  <si>
    <t>T.Harish</t>
  </si>
  <si>
    <t>ACT109</t>
  </si>
  <si>
    <t>Turugopu Sunil Ratnam</t>
  </si>
  <si>
    <t>ACT110</t>
  </si>
  <si>
    <t>Mvs Gangadhar</t>
  </si>
  <si>
    <t>ACT111</t>
  </si>
  <si>
    <t>Maddala Peddi Raju</t>
  </si>
  <si>
    <t>ACT112</t>
  </si>
  <si>
    <t>Ch.V.V.Satyanarayana</t>
  </si>
  <si>
    <t>ACT113</t>
  </si>
  <si>
    <t>G.R Prasad</t>
  </si>
  <si>
    <t>ACT114</t>
  </si>
  <si>
    <t>K.B.N.Prabhakar Rao</t>
  </si>
  <si>
    <t>ACT115</t>
  </si>
  <si>
    <t>Gadam Uma Maheswari</t>
  </si>
  <si>
    <t>ACT116</t>
  </si>
  <si>
    <t>K.Sai Manikanta</t>
  </si>
  <si>
    <t>ACT117</t>
  </si>
  <si>
    <t>R.Chandra Sekhar</t>
  </si>
  <si>
    <t>ACT118</t>
  </si>
  <si>
    <t>Kalaganti Simhachalam</t>
  </si>
  <si>
    <t>ACT119</t>
  </si>
  <si>
    <t>Md.Fahima Begum</t>
  </si>
  <si>
    <t>ACT120</t>
  </si>
  <si>
    <t>Kaki Ramu</t>
  </si>
  <si>
    <t>ACT121</t>
  </si>
  <si>
    <t>Lohi Venkata Satyanarayana</t>
  </si>
  <si>
    <t>ACT122</t>
  </si>
  <si>
    <t>ACT123</t>
  </si>
  <si>
    <t>Godrothu Nagaraju</t>
  </si>
  <si>
    <t>ACT124</t>
  </si>
  <si>
    <t>Md.Mohardin</t>
  </si>
  <si>
    <t>ACT125</t>
  </si>
  <si>
    <t>ACT126</t>
  </si>
  <si>
    <t>Bayya Rajasekhar</t>
  </si>
  <si>
    <t>ACT127</t>
  </si>
  <si>
    <t>A.Anil Kumar</t>
  </si>
  <si>
    <t>ACT128</t>
  </si>
  <si>
    <t>Shaik.Khader Valli</t>
  </si>
  <si>
    <t>ACT129</t>
  </si>
  <si>
    <t>Karri Sai Babu</t>
  </si>
  <si>
    <t>ACT130</t>
  </si>
  <si>
    <t>P.Surya Chandra Rao</t>
  </si>
  <si>
    <t>ACT131</t>
  </si>
  <si>
    <t>Nallala Lakshmi</t>
  </si>
  <si>
    <t>ACT132</t>
  </si>
  <si>
    <t>P.Durga Bhavani</t>
  </si>
  <si>
    <t>ACT133</t>
  </si>
  <si>
    <t>B.Asha Jyothi</t>
  </si>
  <si>
    <t>ACT134</t>
  </si>
  <si>
    <t>Dayam Rajya Lakshmi</t>
  </si>
  <si>
    <t>ACT135</t>
  </si>
  <si>
    <t>Muppidi Surya Naga</t>
  </si>
  <si>
    <t>ACT136</t>
  </si>
  <si>
    <t>Korasika Dhana Lakshmi</t>
  </si>
  <si>
    <t>ACT137</t>
  </si>
  <si>
    <t>Cherukuru Venkata Ramanamma</t>
  </si>
  <si>
    <t>ACT138</t>
  </si>
  <si>
    <t>P.Sathi Babu</t>
  </si>
  <si>
    <t>ACT139</t>
  </si>
  <si>
    <t>Thirupathe Brahamayya</t>
  </si>
  <si>
    <t>ACT140</t>
  </si>
  <si>
    <t>ACT141</t>
  </si>
  <si>
    <t>Tiwari Fathima</t>
  </si>
  <si>
    <t>ACT142</t>
  </si>
  <si>
    <t>Metike Priya Bhavana</t>
  </si>
  <si>
    <t>ACT143</t>
  </si>
  <si>
    <t>Bangaru Leela</t>
  </si>
  <si>
    <t>ACT144</t>
  </si>
  <si>
    <t>Ramana Durga Prasad</t>
  </si>
  <si>
    <t>ACT145</t>
  </si>
  <si>
    <t>Adari Padma</t>
  </si>
  <si>
    <t>ACT146</t>
  </si>
  <si>
    <t>Masagiri Durga</t>
  </si>
  <si>
    <t>ACT147</t>
  </si>
  <si>
    <t>Padala Sai Murali/Vaka Suresh</t>
  </si>
  <si>
    <t>ACT148</t>
  </si>
  <si>
    <t>Peddapuddi Sundar Rao</t>
  </si>
  <si>
    <t>ACT149</t>
  </si>
  <si>
    <t>ACT150</t>
  </si>
  <si>
    <t>A.Ajay Kiran</t>
  </si>
  <si>
    <t>ACT151</t>
  </si>
  <si>
    <t>Janaki Srinu</t>
  </si>
  <si>
    <t>ACT152</t>
  </si>
  <si>
    <t>ACT153</t>
  </si>
  <si>
    <t>ACT154</t>
  </si>
  <si>
    <t>Neelam Narsa Babu</t>
  </si>
  <si>
    <t>ACT155</t>
  </si>
  <si>
    <t>G.Saraswathi</t>
  </si>
  <si>
    <t>ACT156</t>
  </si>
  <si>
    <t>Kasani Durgaravu</t>
  </si>
  <si>
    <t>ACT157</t>
  </si>
  <si>
    <t>K.Nagalakshmi</t>
  </si>
  <si>
    <t>ACT158</t>
  </si>
  <si>
    <t>Akula Durgaravu</t>
  </si>
  <si>
    <t>ACT159</t>
  </si>
  <si>
    <t>K.Pavan Kumar</t>
  </si>
  <si>
    <t>ACT160</t>
  </si>
  <si>
    <t>R.K.Satyanarayana</t>
  </si>
  <si>
    <t>ACT161</t>
  </si>
  <si>
    <t>Modukuri Swaroop</t>
  </si>
  <si>
    <t>ACT162</t>
  </si>
  <si>
    <t>Sk.Mehaboob Jani</t>
  </si>
  <si>
    <t>ACT163</t>
  </si>
  <si>
    <t>Shaik.Ghousiya Begum</t>
  </si>
  <si>
    <t>ACT164</t>
  </si>
  <si>
    <t>K.Mohan Kalyan</t>
  </si>
  <si>
    <t>ACT165</t>
  </si>
  <si>
    <t>Guntipalli Muthayalaravu</t>
  </si>
  <si>
    <t>ACT166</t>
  </si>
  <si>
    <t>Nandigam Sri Rama Murthy</t>
  </si>
  <si>
    <t>ACT167</t>
  </si>
  <si>
    <t>T.Chandrakala</t>
  </si>
  <si>
    <t>ACT168</t>
  </si>
  <si>
    <t>Neerukonda Bharathi</t>
  </si>
  <si>
    <t>ACT169</t>
  </si>
  <si>
    <t>E.Ravi</t>
  </si>
  <si>
    <t>ACT170</t>
  </si>
  <si>
    <t>ACT171</t>
  </si>
  <si>
    <t>Mumgada Durga Devi</t>
  </si>
  <si>
    <t>ACT172</t>
  </si>
  <si>
    <t>ACT173</t>
  </si>
  <si>
    <t>G.N Murthy</t>
  </si>
  <si>
    <t>ACT174</t>
  </si>
  <si>
    <t>Neelam Venkata Lakshmi</t>
  </si>
  <si>
    <t>ACT175</t>
  </si>
  <si>
    <t>Bayya Venkata Krishna</t>
  </si>
  <si>
    <t>ACT176</t>
  </si>
  <si>
    <t>Md.Irfan</t>
  </si>
  <si>
    <t>ACT177</t>
  </si>
  <si>
    <t>P.V.S.Narayana</t>
  </si>
  <si>
    <t>ACT178</t>
  </si>
  <si>
    <t>M.Malini</t>
  </si>
  <si>
    <t>ACT179</t>
  </si>
  <si>
    <t>D.V.Papa</t>
  </si>
  <si>
    <t>ACT180</t>
  </si>
  <si>
    <t>Chelluri Venkatewar Rao</t>
  </si>
  <si>
    <t>ACT181</t>
  </si>
  <si>
    <t>ACT182</t>
  </si>
  <si>
    <t>V.Nanaji</t>
  </si>
  <si>
    <t>ACT183</t>
  </si>
  <si>
    <t>ACT184</t>
  </si>
  <si>
    <t>Gattu Mangavathi</t>
  </si>
  <si>
    <t>ACT185</t>
  </si>
  <si>
    <t>ACT186</t>
  </si>
  <si>
    <t>I.Bala Ganesh</t>
  </si>
  <si>
    <t>ACT187</t>
  </si>
  <si>
    <t>Gudigantla Vinay</t>
  </si>
  <si>
    <t>ACT188</t>
  </si>
  <si>
    <t>Sk.Guljar</t>
  </si>
  <si>
    <t>ACT189</t>
  </si>
  <si>
    <t>ACT190</t>
  </si>
  <si>
    <t>U.Jnanendra Kumar</t>
  </si>
  <si>
    <t>ACT191</t>
  </si>
  <si>
    <t>A.Prabhu Daniel Raj</t>
  </si>
  <si>
    <t>ACT192</t>
  </si>
  <si>
    <t>ACT193</t>
  </si>
  <si>
    <t>U.Lakshmi Prasanna</t>
  </si>
  <si>
    <t>ACT194</t>
  </si>
  <si>
    <t>ACT195</t>
  </si>
  <si>
    <t>Degula Siva Krishna</t>
  </si>
  <si>
    <t>ACT196</t>
  </si>
  <si>
    <t>A.Ajay(A.Jeevavatnam)</t>
  </si>
  <si>
    <t>ACT197</t>
  </si>
  <si>
    <t>O.Shyam Vinay</t>
  </si>
  <si>
    <t>ACT198</t>
  </si>
  <si>
    <t>A.Tejaswini</t>
  </si>
  <si>
    <t>ACT199</t>
  </si>
  <si>
    <t>ACT200</t>
  </si>
  <si>
    <t>Yatham Rambabu</t>
  </si>
  <si>
    <t>ACT201</t>
  </si>
  <si>
    <t>ACT202</t>
  </si>
  <si>
    <t>V.Venkat Sai</t>
  </si>
  <si>
    <t>ACT203</t>
  </si>
  <si>
    <t>Peddapudi Sundar Rao</t>
  </si>
  <si>
    <t>ACT204</t>
  </si>
  <si>
    <t>S.Veera Babu</t>
  </si>
  <si>
    <t>ACT205</t>
  </si>
  <si>
    <t>Cherukuvada Durga Rao</t>
  </si>
  <si>
    <t>ACT206</t>
  </si>
  <si>
    <t>Marisetti Ganesh</t>
  </si>
  <si>
    <t>ACT207</t>
  </si>
  <si>
    <t>K.Kumari</t>
  </si>
  <si>
    <t>ACT208</t>
  </si>
  <si>
    <t>ACT209</t>
  </si>
  <si>
    <t>V.Phani</t>
  </si>
  <si>
    <t>ACT210</t>
  </si>
  <si>
    <t>Mondreti Nageshwara Rao</t>
  </si>
  <si>
    <t>ACT211</t>
  </si>
  <si>
    <t>Chintala Sri Devi</t>
  </si>
  <si>
    <t>ACT212</t>
  </si>
  <si>
    <t>ACT213</t>
  </si>
  <si>
    <t>Gokarla Ganesh</t>
  </si>
  <si>
    <t>ACT214</t>
  </si>
  <si>
    <t>ACT215</t>
  </si>
  <si>
    <t>Rowthu Praveen Kumar</t>
  </si>
  <si>
    <t>ACT216</t>
  </si>
  <si>
    <t>K.Vijaya Lakshmi</t>
  </si>
  <si>
    <t>ACT217</t>
  </si>
  <si>
    <t>B.Vimal</t>
  </si>
  <si>
    <t>ACT218</t>
  </si>
  <si>
    <t>Nagireddy Durga Bhavani</t>
  </si>
  <si>
    <t>ACT219</t>
  </si>
  <si>
    <t>H.Ramu</t>
  </si>
  <si>
    <t>ACT220</t>
  </si>
  <si>
    <t>Muppidi Raju</t>
  </si>
  <si>
    <t>ACT221</t>
  </si>
  <si>
    <t>ACT222</t>
  </si>
  <si>
    <t>Vanga Naga Venkata Ramana</t>
  </si>
  <si>
    <t>ACT223</t>
  </si>
  <si>
    <t>Basavani Satyanarayana</t>
  </si>
  <si>
    <t>ACT224</t>
  </si>
  <si>
    <t>A.Satyavani</t>
  </si>
  <si>
    <t>ACT225</t>
  </si>
  <si>
    <t>Karri Venkata Ramanna</t>
  </si>
  <si>
    <t>ACT226</t>
  </si>
  <si>
    <t>Palivela Lakshmi</t>
  </si>
  <si>
    <t>ACT227</t>
  </si>
  <si>
    <t>Sk.Basheer Munisha</t>
  </si>
  <si>
    <t>ACT228</t>
  </si>
  <si>
    <t>ACT229</t>
  </si>
  <si>
    <t>Marre Ganga Mahalakshmi</t>
  </si>
  <si>
    <t>ACT230</t>
  </si>
  <si>
    <t>M.Priya</t>
  </si>
  <si>
    <t>ACT231</t>
  </si>
  <si>
    <t>R.Satish</t>
  </si>
  <si>
    <t>ACT232</t>
  </si>
  <si>
    <t>ACT233</t>
  </si>
  <si>
    <t>Pattabi Manikanta</t>
  </si>
  <si>
    <t>ACT234</t>
  </si>
  <si>
    <t>B.Ajay</t>
  </si>
  <si>
    <t>ACT235</t>
  </si>
  <si>
    <t>Vaddi Siva Shesha Rao</t>
  </si>
  <si>
    <t>ACT236</t>
  </si>
  <si>
    <t>G.Rajesh</t>
  </si>
  <si>
    <t>ACT237</t>
  </si>
  <si>
    <t>Dasari Suguna Veni</t>
  </si>
  <si>
    <t>ACT238</t>
  </si>
  <si>
    <t>Chadalawada Badramma</t>
  </si>
  <si>
    <t>ACT239</t>
  </si>
  <si>
    <t>Batta Suresh</t>
  </si>
  <si>
    <t>ACT240</t>
  </si>
  <si>
    <t>ACT241</t>
  </si>
  <si>
    <t>V.Srinivas</t>
  </si>
  <si>
    <t>ACT242</t>
  </si>
  <si>
    <t>ACT243</t>
  </si>
  <si>
    <t>Gollakuti Rajesh</t>
  </si>
  <si>
    <t>ACT244</t>
  </si>
  <si>
    <t>P.Satyanaryana</t>
  </si>
  <si>
    <t>ACT245</t>
  </si>
  <si>
    <t>B.Padmaraj</t>
  </si>
  <si>
    <t>ACT246</t>
  </si>
  <si>
    <t>Ravuri Surya Naga Anjeneyalu</t>
  </si>
  <si>
    <t>ACT247</t>
  </si>
  <si>
    <t>ACT248</t>
  </si>
  <si>
    <t>Karini Ramesh</t>
  </si>
  <si>
    <t>ACT249</t>
  </si>
  <si>
    <t>ACT250</t>
  </si>
  <si>
    <t>Didde Venkat Rao</t>
  </si>
  <si>
    <t>ACT251</t>
  </si>
  <si>
    <t>Komali Sudheer Gowda</t>
  </si>
  <si>
    <t>ACT252</t>
  </si>
  <si>
    <t>Rowthu Varalakshmi</t>
  </si>
  <si>
    <t>ACT253</t>
  </si>
  <si>
    <t>Muthi Narashimha Murthy</t>
  </si>
  <si>
    <t>ACT254</t>
  </si>
  <si>
    <t>Cherukuwada Durga Rao</t>
  </si>
  <si>
    <t>ACT255</t>
  </si>
  <si>
    <t>ACT256</t>
  </si>
  <si>
    <t>Nandiwada Krishna</t>
  </si>
  <si>
    <t>ACT257</t>
  </si>
  <si>
    <t>S.V.N Raju</t>
  </si>
  <si>
    <t>ACT258</t>
  </si>
  <si>
    <t>Thirrey Raj Teja</t>
  </si>
  <si>
    <t>ACT259</t>
  </si>
  <si>
    <t>G.Kalpana</t>
  </si>
  <si>
    <t>ACT260</t>
  </si>
  <si>
    <t>B.Venkat Krishna</t>
  </si>
  <si>
    <t>ACT261</t>
  </si>
  <si>
    <t>K.Simhachalam</t>
  </si>
  <si>
    <t>ACT262</t>
  </si>
  <si>
    <t>Bandi Apparao</t>
  </si>
  <si>
    <t>ACT263</t>
  </si>
  <si>
    <t>Karri Gangadharam</t>
  </si>
  <si>
    <t>ACT264</t>
  </si>
  <si>
    <t>Palli Satyanarayana</t>
  </si>
  <si>
    <t>ACT265</t>
  </si>
  <si>
    <t>Neerukonda Dharma Teja</t>
  </si>
  <si>
    <t>ACT266</t>
  </si>
  <si>
    <t>Madireddy Nageshwar Rao</t>
  </si>
  <si>
    <t>ACT267</t>
  </si>
  <si>
    <t>ACT268</t>
  </si>
  <si>
    <t>Kambala Kota Sattibabu</t>
  </si>
  <si>
    <t>ACT269</t>
  </si>
  <si>
    <t>K.V.V Satyanarayana</t>
  </si>
  <si>
    <t>ACT270</t>
  </si>
  <si>
    <t>ACT271</t>
  </si>
  <si>
    <t>ACT272</t>
  </si>
  <si>
    <t>Sk.Nalidh Ahamad</t>
  </si>
  <si>
    <t>ACT273</t>
  </si>
  <si>
    <t>Yarra Ramya</t>
  </si>
  <si>
    <t>ACT274</t>
  </si>
  <si>
    <t>Vaka Venkatesh</t>
  </si>
  <si>
    <t>ACT275</t>
  </si>
  <si>
    <t>Akabathula Manamma</t>
  </si>
  <si>
    <t>ACT276</t>
  </si>
  <si>
    <t>Jetty Gangadharam</t>
  </si>
  <si>
    <t>ACT277</t>
  </si>
  <si>
    <t>Bhavurisetti Nageshwarao</t>
  </si>
  <si>
    <t>ACT278</t>
  </si>
  <si>
    <t>P.Yesupadam</t>
  </si>
  <si>
    <t>ACT279</t>
  </si>
  <si>
    <t>Ubha Renuka</t>
  </si>
  <si>
    <t>Book_No</t>
  </si>
  <si>
    <t>Loan_Date</t>
  </si>
  <si>
    <t>Release_Date</t>
  </si>
  <si>
    <t>Customer_Name</t>
  </si>
  <si>
    <t>Principal_Amount</t>
  </si>
  <si>
    <t>Interest_Rate</t>
  </si>
  <si>
    <t>Interest_Earned</t>
  </si>
  <si>
    <t>R021</t>
  </si>
  <si>
    <t>S.Venkatesh</t>
  </si>
  <si>
    <t>Closed</t>
  </si>
  <si>
    <t>R022</t>
  </si>
  <si>
    <t>K.Rambabu</t>
  </si>
  <si>
    <t>R023</t>
  </si>
  <si>
    <t>P.Lakshmi</t>
  </si>
  <si>
    <t>R024</t>
  </si>
  <si>
    <t>B.Srinivas</t>
  </si>
  <si>
    <t>R025</t>
  </si>
  <si>
    <t>M.Rajesh</t>
  </si>
  <si>
    <t>R026</t>
  </si>
  <si>
    <t>T.Satyanarayana</t>
  </si>
  <si>
    <t>R027</t>
  </si>
  <si>
    <t>K.Durga Devi</t>
  </si>
  <si>
    <t>R028</t>
  </si>
  <si>
    <t>R.Nagaraju</t>
  </si>
  <si>
    <t>R029</t>
  </si>
  <si>
    <t>S.Annapurna</t>
  </si>
  <si>
    <t>R030</t>
  </si>
  <si>
    <t>G.Prasad</t>
  </si>
  <si>
    <t>R031</t>
  </si>
  <si>
    <t>P.Sujatha</t>
  </si>
  <si>
    <t>R032</t>
  </si>
  <si>
    <t>K.Ramana</t>
  </si>
  <si>
    <t>R033</t>
  </si>
  <si>
    <t>D.Bhavani</t>
  </si>
  <si>
    <t>R034</t>
  </si>
  <si>
    <t>A.Krishna Rao</t>
  </si>
  <si>
    <t>R035</t>
  </si>
  <si>
    <t>T.Venkata Rao</t>
  </si>
  <si>
    <t>R036</t>
  </si>
  <si>
    <t>M.Satish Kumar</t>
  </si>
  <si>
    <t>R037</t>
  </si>
  <si>
    <t>B.Rani Kumari</t>
  </si>
  <si>
    <t>R038</t>
  </si>
  <si>
    <t>N.Veerabhadra Rao</t>
  </si>
  <si>
    <t>R039</t>
  </si>
  <si>
    <t>J.Koteswara Rao</t>
  </si>
  <si>
    <t>R040</t>
  </si>
  <si>
    <t>S.Lakshmi Narayana</t>
  </si>
  <si>
    <t>R041</t>
  </si>
  <si>
    <t>P.Saraswathi</t>
  </si>
  <si>
    <t>R042</t>
  </si>
  <si>
    <t>R.Manikyam</t>
  </si>
  <si>
    <t>R043</t>
  </si>
  <si>
    <t>G.Anil Kumar</t>
  </si>
  <si>
    <t>R044</t>
  </si>
  <si>
    <t>V.Satya Prasad</t>
  </si>
  <si>
    <t>R045</t>
  </si>
  <si>
    <t>M.Rajeswari</t>
  </si>
  <si>
    <t>R046</t>
  </si>
  <si>
    <t>K.Venkatesh</t>
  </si>
  <si>
    <t>R047</t>
  </si>
  <si>
    <t>B.Suresh</t>
  </si>
  <si>
    <t>R048</t>
  </si>
  <si>
    <t>P.Ramadevi</t>
  </si>
  <si>
    <t>R049</t>
  </si>
  <si>
    <t>T.Nagarjuna</t>
  </si>
  <si>
    <t>R050</t>
  </si>
  <si>
    <t>M.Vijayalakshmi</t>
  </si>
  <si>
    <t>R051</t>
  </si>
  <si>
    <t>D.Satyanarayana</t>
  </si>
  <si>
    <t>R052</t>
  </si>
  <si>
    <t>K.Anusha</t>
  </si>
  <si>
    <t>R053</t>
  </si>
  <si>
    <t>S.Rambabu</t>
  </si>
  <si>
    <t>R054</t>
  </si>
  <si>
    <t>G.Lakshmi</t>
  </si>
  <si>
    <t>R055</t>
  </si>
  <si>
    <t>P.Krishna Rao</t>
  </si>
  <si>
    <t>R056</t>
  </si>
  <si>
    <t>V.Ramana</t>
  </si>
  <si>
    <t>R057</t>
  </si>
  <si>
    <t>N.Sujatha</t>
  </si>
  <si>
    <t>R058</t>
  </si>
  <si>
    <t>J.Prasad</t>
  </si>
  <si>
    <t>R059</t>
  </si>
  <si>
    <t>M.Bhavani</t>
  </si>
  <si>
    <t>R060</t>
  </si>
  <si>
    <t>K.Srinivas</t>
  </si>
  <si>
    <t>R061</t>
  </si>
  <si>
    <t>A.Nagaraju</t>
  </si>
  <si>
    <t>R062</t>
  </si>
  <si>
    <t>D.Rajeswari</t>
  </si>
  <si>
    <t>R063</t>
  </si>
  <si>
    <t>P.Venkata Rao</t>
  </si>
  <si>
    <t>R064</t>
  </si>
  <si>
    <t>T.Annapurna</t>
  </si>
  <si>
    <t>R065</t>
  </si>
  <si>
    <t>G.Satish Kumar</t>
  </si>
  <si>
    <t>R066</t>
  </si>
  <si>
    <t>M.Rajyalakshmi</t>
  </si>
  <si>
    <t>R067</t>
  </si>
  <si>
    <t>K.Veerabhadra Rao</t>
  </si>
  <si>
    <t>R068</t>
  </si>
  <si>
    <t>B.Padmavathi</t>
  </si>
  <si>
    <t>R069</t>
  </si>
  <si>
    <t>S.Krishna Murthy</t>
  </si>
  <si>
    <t>R070</t>
  </si>
  <si>
    <t>P.Satyanarayana</t>
  </si>
  <si>
    <t>R071</t>
  </si>
  <si>
    <t>M.Venkata Lakshmi</t>
  </si>
  <si>
    <t>R072</t>
  </si>
  <si>
    <t>K.Rajesh Kumar</t>
  </si>
  <si>
    <t>R073</t>
  </si>
  <si>
    <t>P.Anitha Devi</t>
  </si>
  <si>
    <t>R074</t>
  </si>
  <si>
    <t>G.Srinivasa Rao</t>
  </si>
  <si>
    <t>R075</t>
  </si>
  <si>
    <t>T.Nagamani</t>
  </si>
  <si>
    <t>R076</t>
  </si>
  <si>
    <t>M.Krishna Mohan</t>
  </si>
  <si>
    <t>R077</t>
  </si>
  <si>
    <t>D.Vijaya Lakshmi</t>
  </si>
  <si>
    <t>R078</t>
  </si>
  <si>
    <t>S.Ramakrishna</t>
  </si>
  <si>
    <t>R079</t>
  </si>
  <si>
    <t>B.Satya Prakash</t>
  </si>
  <si>
    <t>R080</t>
  </si>
  <si>
    <t>K.Saraswathi</t>
  </si>
  <si>
    <t>R081</t>
  </si>
  <si>
    <t>P.Venkateswara Rao</t>
  </si>
  <si>
    <t>R082</t>
  </si>
  <si>
    <t>M.Lakshmi Narayana</t>
  </si>
  <si>
    <t>R083</t>
  </si>
  <si>
    <t>T.Rambabu</t>
  </si>
  <si>
    <t>R084</t>
  </si>
  <si>
    <t>D.Annapurna</t>
  </si>
  <si>
    <t>R085</t>
  </si>
  <si>
    <t>K.Surya Prakash</t>
  </si>
  <si>
    <t>R086</t>
  </si>
  <si>
    <t>G.Rajeswari</t>
  </si>
  <si>
    <t>R087</t>
  </si>
  <si>
    <t>M.Satyanarayana</t>
  </si>
  <si>
    <t>R088</t>
  </si>
  <si>
    <t>P.Bhavani Devi</t>
  </si>
  <si>
    <t>R089</t>
  </si>
  <si>
    <t>S.Veerabhadra Rao</t>
  </si>
  <si>
    <t>R090</t>
  </si>
  <si>
    <t>K.Nagamani</t>
  </si>
  <si>
    <t>R091</t>
  </si>
  <si>
    <t>D.Krishna Kumari</t>
  </si>
  <si>
    <t>R092</t>
  </si>
  <si>
    <t>P.Suresh Babu</t>
  </si>
  <si>
    <t>R093</t>
  </si>
  <si>
    <t>M.Ramadevi</t>
  </si>
  <si>
    <t>R094</t>
  </si>
  <si>
    <t>R095</t>
  </si>
  <si>
    <t>G.Satyanarayana</t>
  </si>
  <si>
    <t>R096</t>
  </si>
  <si>
    <t>K.Ramakrishna</t>
  </si>
  <si>
    <t>R097</t>
  </si>
  <si>
    <t>P.Vijaya Lakshmi</t>
  </si>
  <si>
    <t>R098</t>
  </si>
  <si>
    <t>G.Nageswara Rao</t>
  </si>
  <si>
    <t>R099</t>
  </si>
  <si>
    <t>M.Sujatha</t>
  </si>
  <si>
    <t>R100</t>
  </si>
  <si>
    <t>T.Satish Kumar</t>
  </si>
  <si>
    <t>R101</t>
  </si>
  <si>
    <t>K.Annapurna</t>
  </si>
  <si>
    <t>R102</t>
  </si>
  <si>
    <t>D.Venkatesh</t>
  </si>
  <si>
    <t>R103</t>
  </si>
  <si>
    <t>P.Rajesh</t>
  </si>
  <si>
    <t>R104</t>
  </si>
  <si>
    <t>S.Lakshmi</t>
  </si>
  <si>
    <t>R105</t>
  </si>
  <si>
    <t>B.Rambabu</t>
  </si>
  <si>
    <t>R106</t>
  </si>
  <si>
    <t>M.Krishna Rao</t>
  </si>
  <si>
    <t>R107</t>
  </si>
  <si>
    <t>T.Nagaraju</t>
  </si>
  <si>
    <t>R108</t>
  </si>
  <si>
    <t>R109</t>
  </si>
  <si>
    <t>R110</t>
  </si>
  <si>
    <t>D.Rani Kumari</t>
  </si>
  <si>
    <t>R111</t>
  </si>
  <si>
    <t>P.Srinivas</t>
  </si>
  <si>
    <t>R112</t>
  </si>
  <si>
    <t>R113</t>
  </si>
  <si>
    <t>R114</t>
  </si>
  <si>
    <t>T.Anusha</t>
  </si>
  <si>
    <t>R115</t>
  </si>
  <si>
    <t>K.Satyanarayana</t>
  </si>
  <si>
    <t>R116</t>
  </si>
  <si>
    <t>G.Venkatesh</t>
  </si>
  <si>
    <t>R117</t>
  </si>
  <si>
    <t>P.Bhavani</t>
  </si>
  <si>
    <t>R118</t>
  </si>
  <si>
    <t>D.Nagaraju</t>
  </si>
  <si>
    <t>R119</t>
  </si>
  <si>
    <t>M.Prasad</t>
  </si>
  <si>
    <t>R120</t>
  </si>
  <si>
    <t>K.Lakshmi Devi</t>
  </si>
  <si>
    <t>R121</t>
  </si>
  <si>
    <t>P.Ramakrishna</t>
  </si>
  <si>
    <t>R122</t>
  </si>
  <si>
    <t>K.Sujatha</t>
  </si>
  <si>
    <t>R123</t>
  </si>
  <si>
    <t>M.Venkatesh</t>
  </si>
  <si>
    <t>R124</t>
  </si>
  <si>
    <t>R125</t>
  </si>
  <si>
    <t>P.Annapurna</t>
  </si>
  <si>
    <t>R126</t>
  </si>
  <si>
    <t>R127</t>
  </si>
  <si>
    <t>T.Srinivas</t>
  </si>
  <si>
    <t>R128</t>
  </si>
  <si>
    <t>K.Bhavani</t>
  </si>
  <si>
    <t>R129</t>
  </si>
  <si>
    <t>R130</t>
  </si>
  <si>
    <t>R131</t>
  </si>
  <si>
    <t>P.Krishna</t>
  </si>
  <si>
    <t>R132</t>
  </si>
  <si>
    <t>D.Rani</t>
  </si>
  <si>
    <t>R133</t>
  </si>
  <si>
    <t>K.Satya</t>
  </si>
  <si>
    <t>R134</t>
  </si>
  <si>
    <t>G.Venkata Rao</t>
  </si>
  <si>
    <t>R135</t>
  </si>
  <si>
    <t>R001</t>
  </si>
  <si>
    <t>S.Ramana</t>
  </si>
  <si>
    <t>R002</t>
  </si>
  <si>
    <t>R003</t>
  </si>
  <si>
    <t>M.Lakshmi</t>
  </si>
  <si>
    <t>R004</t>
  </si>
  <si>
    <t>R005</t>
  </si>
  <si>
    <t>R006</t>
  </si>
  <si>
    <t>R007</t>
  </si>
  <si>
    <t>R008</t>
  </si>
  <si>
    <t>R009</t>
  </si>
  <si>
    <t>B.Vijaya Lakshmi</t>
  </si>
  <si>
    <t>R010</t>
  </si>
  <si>
    <t>N.Satyanarayana</t>
  </si>
  <si>
    <t>R011</t>
  </si>
  <si>
    <t>R012</t>
  </si>
  <si>
    <t>R013</t>
  </si>
  <si>
    <t>S.Krishna Rao</t>
  </si>
  <si>
    <t>R014</t>
  </si>
  <si>
    <t>R015</t>
  </si>
  <si>
    <t>R016</t>
  </si>
  <si>
    <t>R017</t>
  </si>
  <si>
    <t>R018</t>
  </si>
  <si>
    <t>R019</t>
  </si>
  <si>
    <t>R020</t>
  </si>
  <si>
    <t>blank</t>
  </si>
  <si>
    <t>Financial Lending Records Analytics Dashboard</t>
  </si>
  <si>
    <t>Count of Book_No</t>
  </si>
  <si>
    <t>Sum of Principal_Amount</t>
  </si>
  <si>
    <t>Grand Total</t>
  </si>
  <si>
    <t>Sum of Interest_Earned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</si>
</sst>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Aptos Narrow"/>
      <scheme val="minor"/>
    </font>
    <font>
      <sz val="11"/>
      <color rgb="FF000000"/>
      <name val="Calibri"/>
      <family val="2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b/>
      <sz val="2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3" fontId="3" fillId="0" borderId="0" xfId="0" applyNumberFormat="1" applyFont="1"/>
    <xf numFmtId="0" fontId="2" fillId="0" borderId="0" xfId="0" applyFont="1" applyAlignment="1">
      <alignment horizontal="left"/>
    </xf>
    <xf numFmtId="49" fontId="0" fillId="0" borderId="0" xfId="0" applyNumberFormat="1"/>
    <xf numFmtId="49" fontId="4" fillId="0" borderId="0" xfId="0" applyNumberFormat="1" applyFont="1"/>
    <xf numFmtId="49" fontId="3" fillId="0" borderId="0" xfId="0" applyNumberFormat="1" applyFont="1" applyBorder="1" applyAlignment="1"/>
    <xf numFmtId="0" fontId="0" fillId="3" borderId="3" xfId="0" applyFont="1" applyFill="1" applyBorder="1"/>
    <xf numFmtId="0" fontId="0" fillId="0" borderId="3" xfId="0" applyFont="1" applyBorder="1"/>
    <xf numFmtId="0" fontId="0" fillId="3" borderId="6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3" borderId="1" xfId="0" applyFont="1" applyFill="1" applyBorder="1"/>
    <xf numFmtId="14" fontId="0" fillId="3" borderId="2" xfId="0" applyNumberFormat="1" applyFont="1" applyFill="1" applyBorder="1"/>
    <xf numFmtId="0" fontId="0" fillId="3" borderId="2" xfId="0" applyFont="1" applyFill="1" applyBorder="1"/>
    <xf numFmtId="0" fontId="0" fillId="0" borderId="1" xfId="0" applyFont="1" applyBorder="1"/>
    <xf numFmtId="14" fontId="0" fillId="0" borderId="2" xfId="0" applyNumberFormat="1" applyFont="1" applyBorder="1"/>
    <xf numFmtId="0" fontId="0" fillId="0" borderId="2" xfId="0" applyFont="1" applyBorder="1"/>
    <xf numFmtId="0" fontId="0" fillId="3" borderId="4" xfId="0" applyFont="1" applyFill="1" applyBorder="1"/>
    <xf numFmtId="14" fontId="0" fillId="3" borderId="5" xfId="0" applyNumberFormat="1" applyFont="1" applyFill="1" applyBorder="1"/>
    <xf numFmtId="0" fontId="0" fillId="3" borderId="5" xfId="0" applyFont="1" applyFill="1" applyBorder="1"/>
    <xf numFmtId="0" fontId="0" fillId="3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3" borderId="2" xfId="0" applyNumberFormat="1" applyFont="1" applyFill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14" fontId="0" fillId="3" borderId="5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14" fontId="0" fillId="3" borderId="0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3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3" borderId="5" xfId="0" applyNumberFormat="1" applyFont="1" applyFill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14" fontId="0" fillId="3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83-4C4C-8311-33C532EF37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83-4C4C-8311-33C532EF374D}"/>
              </c:ext>
            </c:extLst>
          </c:dPt>
          <c:cat>
            <c:strRef>
              <c:f>Dashboard!$A$15:$A$17</c:f>
              <c:strCache>
                <c:ptCount val="2"/>
                <c:pt idx="0">
                  <c:v>Active</c:v>
                </c:pt>
                <c:pt idx="1">
                  <c:v>Closed</c:v>
                </c:pt>
              </c:strCache>
            </c:strRef>
          </c:cat>
          <c:val>
            <c:numRef>
              <c:f>Dashboard!$B$15:$B$17</c:f>
              <c:numCache>
                <c:formatCode>General</c:formatCode>
                <c:ptCount val="2"/>
                <c:pt idx="0">
                  <c:v>279</c:v>
                </c:pt>
                <c:pt idx="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2-4CAE-9815-4C5B9E64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[dummy.xlsx]Dashboard!PivotTable4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Principal Amount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Dashboard!$G$15:$G$17</c:f>
              <c:strCache>
                <c:ptCount val="2"/>
                <c:pt idx="0">
                  <c:v>Active</c:v>
                </c:pt>
                <c:pt idx="1">
                  <c:v>Closed</c:v>
                </c:pt>
              </c:strCache>
            </c:strRef>
          </c:cat>
          <c:val>
            <c:numRef>
              <c:f>Dashboard!$H$15:$H$17</c:f>
              <c:numCache>
                <c:formatCode>General</c:formatCode>
                <c:ptCount val="2"/>
                <c:pt idx="0">
                  <c:v>27414550</c:v>
                </c:pt>
                <c:pt idx="1">
                  <c:v>10940000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8-4AF2-80F1-DC283BFB4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500488"/>
        <c:axId val="978113032"/>
      </c:barChart>
      <c:catAx>
        <c:axId val="97250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113032"/>
        <c:crosses val="autoZero"/>
        <c:auto val="1"/>
        <c:lblAlgn val="ctr"/>
        <c:lblOffset val="100"/>
        <c:noMultiLvlLbl val="0"/>
      </c:catAx>
      <c:valAx>
        <c:axId val="97811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50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[dummy.xlsx]Dashboard!PivotTable5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Interest Rate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Dashboard!$A$33:$A$36</c:f>
              <c:strCache>
                <c:ptCount val="3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</c:strCache>
            </c:strRef>
          </c:cat>
          <c:val>
            <c:numRef>
              <c:f>Dashboard!$B$33:$B$36</c:f>
              <c:numCache>
                <c:formatCode>General</c:formatCode>
                <c:ptCount val="3"/>
                <c:pt idx="0">
                  <c:v>132</c:v>
                </c:pt>
                <c:pt idx="1">
                  <c:v>145</c:v>
                </c:pt>
                <c:pt idx="2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6-48C7-9E37-49865BD28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769288"/>
        <c:axId val="935989768"/>
      </c:barChart>
      <c:catAx>
        <c:axId val="916769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989768"/>
        <c:crosses val="autoZero"/>
        <c:auto val="1"/>
        <c:lblAlgn val="ctr"/>
        <c:lblOffset val="100"/>
        <c:noMultiLvlLbl val="0"/>
      </c:catAx>
      <c:valAx>
        <c:axId val="93598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76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[dummy.xlsx]Dashboard!PivotTable6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Interest Earned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Dashboard!$H$32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24-46E7-9A2B-041D3D6043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24-46E7-9A2B-041D3D60431F}"/>
              </c:ext>
            </c:extLst>
          </c:dPt>
          <c:cat>
            <c:strRef>
              <c:f>Dashboard!$G$33:$G$35</c:f>
              <c:strCache>
                <c:ptCount val="2"/>
                <c:pt idx="0">
                  <c:v>Active</c:v>
                </c:pt>
                <c:pt idx="1">
                  <c:v>Closed</c:v>
                </c:pt>
              </c:strCache>
            </c:strRef>
          </c:cat>
          <c:val>
            <c:numRef>
              <c:f>Dashboard!$H$33:$H$35</c:f>
              <c:numCache>
                <c:formatCode>General</c:formatCode>
                <c:ptCount val="2"/>
                <c:pt idx="0">
                  <c:v>0</c:v>
                </c:pt>
                <c:pt idx="1">
                  <c:v>4336000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7-45D6-B863-C181F4EF0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Interest Rate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Dashboard!$A$46:$A$49</c:f>
              <c:strCache>
                <c:ptCount val="3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</c:strCache>
            </c:strRef>
          </c:cat>
          <c:val>
            <c:numRef>
              <c:f>Dashboard!$B$46:$B$49</c:f>
              <c:numCache>
                <c:formatCode>General</c:formatCode>
                <c:ptCount val="3"/>
                <c:pt idx="0">
                  <c:v>132</c:v>
                </c:pt>
                <c:pt idx="1">
                  <c:v>145</c:v>
                </c:pt>
                <c:pt idx="2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B-42A0-85F1-30BBE8268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097928"/>
        <c:axId val="1556558344"/>
      </c:barChart>
      <c:catAx>
        <c:axId val="153409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558344"/>
        <c:crosses val="autoZero"/>
        <c:auto val="1"/>
        <c:lblAlgn val="ctr"/>
        <c:lblOffset val="100"/>
        <c:noMultiLvlLbl val="0"/>
      </c:catAx>
      <c:valAx>
        <c:axId val="155655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97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104775</xdr:rowOff>
    </xdr:from>
    <xdr:to>
      <xdr:col>2</xdr:col>
      <xdr:colOff>200025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5DA4A-5BA5-651B-6137-868F14232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85725</xdr:colOff>
      <xdr:row>12</xdr:row>
      <xdr:rowOff>95250</xdr:rowOff>
    </xdr:from>
    <xdr:to>
      <xdr:col>9</xdr:col>
      <xdr:colOff>114300</xdr:colOff>
      <xdr:row>23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B99429-E548-67F7-32F3-C9FA76ACC427}"/>
            </a:ext>
            <a:ext uri="{147F2762-F138-4A5C-976F-8EAC2B608ADB}">
              <a16:predDERef xmlns:a16="http://schemas.microsoft.com/office/drawing/2014/main" pred="{8705DA4A-5BA5-651B-6137-868F14232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27</xdr:row>
      <xdr:rowOff>9525</xdr:rowOff>
    </xdr:from>
    <xdr:to>
      <xdr:col>2</xdr:col>
      <xdr:colOff>333375</xdr:colOff>
      <xdr:row>41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877B1A-AD1A-7FD6-A01D-58FE69F14167}"/>
            </a:ext>
            <a:ext uri="{147F2762-F138-4A5C-976F-8EAC2B608ADB}">
              <a16:predDERef xmlns:a16="http://schemas.microsoft.com/office/drawing/2014/main" pred="{F0B99429-E548-67F7-32F3-C9FA76ACC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466725</xdr:colOff>
      <xdr:row>27</xdr:row>
      <xdr:rowOff>66675</xdr:rowOff>
    </xdr:from>
    <xdr:to>
      <xdr:col>8</xdr:col>
      <xdr:colOff>9525</xdr:colOff>
      <xdr:row>41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D8E3E3-B451-111C-AB4E-126261B37427}"/>
            </a:ext>
            <a:ext uri="{147F2762-F138-4A5C-976F-8EAC2B608ADB}">
              <a16:predDERef xmlns:a16="http://schemas.microsoft.com/office/drawing/2014/main" pred="{16877B1A-AD1A-7FD6-A01D-58FE69F14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171450</xdr:colOff>
      <xdr:row>4</xdr:row>
      <xdr:rowOff>161925</xdr:rowOff>
    </xdr:from>
    <xdr:to>
      <xdr:col>1</xdr:col>
      <xdr:colOff>638175</xdr:colOff>
      <xdr:row>9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2D5CC62-75BD-8B6C-BE3E-0A0E13555ECE}"/>
            </a:ext>
            <a:ext uri="{147F2762-F138-4A5C-976F-8EAC2B608ADB}">
              <a16:predDERef xmlns:a16="http://schemas.microsoft.com/office/drawing/2014/main" pred="{91D8E3E3-B451-111C-AB4E-126261B37427}"/>
            </a:ext>
          </a:extLst>
        </xdr:cNvPr>
        <xdr:cNvSpPr/>
      </xdr:nvSpPr>
      <xdr:spPr>
        <a:xfrm>
          <a:off x="171450" y="1114425"/>
          <a:ext cx="1552575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Total Loans</a:t>
          </a:r>
        </a:p>
        <a:p>
          <a:pPr marL="0" indent="0" algn="l"/>
          <a:r>
            <a:rPr lang="en-US" sz="2000">
              <a:solidFill>
                <a:schemeClr val="lt1"/>
              </a:solidFill>
              <a:latin typeface="+mn-lt"/>
              <a:ea typeface="+mn-lt"/>
              <a:cs typeface="+mn-lt"/>
            </a:rPr>
            <a:t>414</a:t>
          </a:r>
        </a:p>
      </xdr:txBody>
    </xdr:sp>
    <xdr:clientData/>
  </xdr:twoCellAnchor>
  <xdr:twoCellAnchor>
    <xdr:from>
      <xdr:col>2</xdr:col>
      <xdr:colOff>47625</xdr:colOff>
      <xdr:row>4</xdr:row>
      <xdr:rowOff>152400</xdr:rowOff>
    </xdr:from>
    <xdr:to>
      <xdr:col>4</xdr:col>
      <xdr:colOff>381000</xdr:colOff>
      <xdr:row>9</xdr:row>
      <xdr:rowOff>152400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53B7F82-4B6C-4280-B0F1-514962260C1C}"/>
            </a:ext>
            <a:ext uri="{147F2762-F138-4A5C-976F-8EAC2B608ADB}">
              <a16:predDERef xmlns:a16="http://schemas.microsoft.com/office/drawing/2014/main" pred="{52D5CC62-75BD-8B6C-BE3E-0A0E13555ECE}"/>
            </a:ext>
          </a:extLst>
        </xdr:cNvPr>
        <xdr:cNvSpPr/>
      </xdr:nvSpPr>
      <xdr:spPr>
        <a:xfrm>
          <a:off x="2276475" y="1104900"/>
          <a:ext cx="1552575" cy="9525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Active Loans</a:t>
          </a:r>
        </a:p>
        <a:p>
          <a:pPr marL="0" indent="0" algn="l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279</a:t>
          </a:r>
        </a:p>
      </xdr:txBody>
    </xdr:sp>
    <xdr:clientData/>
  </xdr:twoCellAnchor>
  <xdr:twoCellAnchor>
    <xdr:from>
      <xdr:col>5</xdr:col>
      <xdr:colOff>409575</xdr:colOff>
      <xdr:row>4</xdr:row>
      <xdr:rowOff>180975</xdr:rowOff>
    </xdr:from>
    <xdr:to>
      <xdr:col>7</xdr:col>
      <xdr:colOff>590550</xdr:colOff>
      <xdr:row>9</xdr:row>
      <xdr:rowOff>180975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5316E39-2B17-49EE-928D-3BE49BD5DFEF}"/>
            </a:ext>
            <a:ext uri="{147F2762-F138-4A5C-976F-8EAC2B608ADB}">
              <a16:predDERef xmlns:a16="http://schemas.microsoft.com/office/drawing/2014/main" pred="{B53B7F82-4B6C-4280-B0F1-514962260C1C}"/>
            </a:ext>
          </a:extLst>
        </xdr:cNvPr>
        <xdr:cNvSpPr/>
      </xdr:nvSpPr>
      <xdr:spPr>
        <a:xfrm>
          <a:off x="4467225" y="1133475"/>
          <a:ext cx="1552575" cy="9525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Closed Loans</a:t>
          </a:r>
        </a:p>
        <a:p>
          <a:pPr marL="0" indent="0" algn="l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135</a:t>
          </a:r>
        </a:p>
      </xdr:txBody>
    </xdr:sp>
    <xdr:clientData/>
  </xdr:twoCellAnchor>
  <xdr:twoCellAnchor>
    <xdr:from>
      <xdr:col>7</xdr:col>
      <xdr:colOff>1104900</xdr:colOff>
      <xdr:row>4</xdr:row>
      <xdr:rowOff>114300</xdr:rowOff>
    </xdr:from>
    <xdr:to>
      <xdr:col>10</xdr:col>
      <xdr:colOff>85725</xdr:colOff>
      <xdr:row>10</xdr:row>
      <xdr:rowOff>85725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8D4DFB3-72B9-4F71-9AEC-2099C12F1039}"/>
            </a:ext>
            <a:ext uri="{147F2762-F138-4A5C-976F-8EAC2B608ADB}">
              <a16:predDERef xmlns:a16="http://schemas.microsoft.com/office/drawing/2014/main" pred="{65316E39-2B17-49EE-928D-3BE49BD5DFEF}"/>
            </a:ext>
          </a:extLst>
        </xdr:cNvPr>
        <xdr:cNvSpPr/>
      </xdr:nvSpPr>
      <xdr:spPr>
        <a:xfrm>
          <a:off x="6534150" y="1066800"/>
          <a:ext cx="1657350" cy="1114425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Total Principal</a:t>
          </a:r>
        </a:p>
        <a:p>
          <a:pPr marL="0" indent="0" algn="l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38,354,550</a:t>
          </a:r>
        </a:p>
      </xdr:txBody>
    </xdr:sp>
    <xdr:clientData/>
  </xdr:twoCellAnchor>
  <xdr:twoCellAnchor>
    <xdr:from>
      <xdr:col>0</xdr:col>
      <xdr:colOff>0</xdr:colOff>
      <xdr:row>42</xdr:row>
      <xdr:rowOff>171450</xdr:rowOff>
    </xdr:from>
    <xdr:to>
      <xdr:col>9</xdr:col>
      <xdr:colOff>152400</xdr:colOff>
      <xdr:row>57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1B1477B-788F-FD38-DFE5-78729F46124C}"/>
            </a:ext>
            <a:ext uri="{147F2762-F138-4A5C-976F-8EAC2B608ADB}">
              <a16:predDERef xmlns:a16="http://schemas.microsoft.com/office/drawing/2014/main" pred="{18D4DFB3-72B9-4F71-9AEC-2099C12F1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2.670949884261" createdVersion="8" refreshedVersion="8" minRefreshableVersion="3" recordCount="414" xr:uid="{4E2113E4-0230-47C5-BDD0-02F5C03DC150}">
  <cacheSource type="worksheet">
    <worksheetSource name="Table2"/>
  </cacheSource>
  <cacheFields count="8">
    <cacheField name="Book_No" numFmtId="0">
      <sharedItems/>
    </cacheField>
    <cacheField name="Loan_Date" numFmtId="14">
      <sharedItems containsSemiMixedTypes="0" containsNonDate="0" containsDate="1" containsString="0" minDate="2021-01-05T00:00:00" maxDate="2026-06-03T00:00:00"/>
    </cacheField>
    <cacheField name="Release_Date" numFmtId="0">
      <sharedItems containsDate="1" containsMixedTypes="1" minDate="2022-09-10T00:00:00" maxDate="2026-06-21T00:00:00"/>
    </cacheField>
    <cacheField name="Customer_Name" numFmtId="0">
      <sharedItems/>
    </cacheField>
    <cacheField name="Principal_Amount" numFmtId="0">
      <sharedItems containsSemiMixedTypes="0" containsString="0" containsNumber="1" containsInteger="1" minValue="20000" maxValue="1000000"/>
    </cacheField>
    <cacheField name="Interest_Rate" numFmtId="0">
      <sharedItems containsSemiMixedTypes="0" containsString="0" containsNumber="1" minValue="1.5" maxValue="2.5" count="3">
        <n v="2"/>
        <n v="2.5"/>
        <n v="1.5"/>
      </sharedItems>
    </cacheField>
    <cacheField name="Interest_Earned" numFmtId="0">
      <sharedItems containsMixedTypes="1" containsNumber="1" containsInteger="1" minValue="5000" maxValue="78000"/>
    </cacheField>
    <cacheField name="Status" numFmtId="0">
      <sharedItems count="2">
        <s v="Closed"/>
        <s v="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4">
  <r>
    <s v="R001"/>
    <d v="2021-01-05T00:00:00"/>
    <d v="2022-11-15T00:00:00"/>
    <s v="S.Ramana"/>
    <n v="45000"/>
    <x v="0"/>
    <n v="16000"/>
    <x v="0"/>
  </r>
  <r>
    <s v="R002"/>
    <d v="2021-01-08T00:00:00"/>
    <d v="2022-12-20T00:00:00"/>
    <s v="K.Venkatesh"/>
    <n v="60000"/>
    <x v="0"/>
    <n v="22000"/>
    <x v="0"/>
  </r>
  <r>
    <s v="R003"/>
    <d v="2021-01-10T00:00:00"/>
    <d v="2023-01-05T00:00:00"/>
    <s v="M.Lakshmi"/>
    <n v="35000"/>
    <x v="0"/>
    <n v="12000"/>
    <x v="0"/>
  </r>
  <r>
    <s v="R004"/>
    <d v="2021-01-12T00:00:00"/>
    <d v="2023-03-18T00:00:00"/>
    <s v="P.Srinivas"/>
    <n v="80000"/>
    <x v="1"/>
    <n v="36000"/>
    <x v="0"/>
  </r>
  <r>
    <s v="R005"/>
    <d v="2021-01-14T00:00:00"/>
    <d v="2022-11-25T00:00:00"/>
    <s v="T.Rambabu"/>
    <n v="50000"/>
    <x v="0"/>
    <n v="18000"/>
    <x v="0"/>
  </r>
  <r>
    <s v="R006"/>
    <d v="2021-01-16T00:00:00"/>
    <d v="2023-02-10T00:00:00"/>
    <s v="D.Annapurna"/>
    <n v="70000"/>
    <x v="0"/>
    <n v="26000"/>
    <x v="0"/>
  </r>
  <r>
    <s v="R007"/>
    <d v="2021-01-18T00:00:00"/>
    <d v="2023-04-15T00:00:00"/>
    <s v="G.Rajesh"/>
    <n v="90000"/>
    <x v="1"/>
    <n v="42000"/>
    <x v="0"/>
  </r>
  <r>
    <s v="R008"/>
    <d v="2021-01-20T00:00:00"/>
    <d v="2022-10-08T00:00:00"/>
    <s v="K.Sujatha"/>
    <n v="40000"/>
    <x v="0"/>
    <n v="14000"/>
    <x v="0"/>
  </r>
  <r>
    <s v="R009"/>
    <d v="2021-01-22T00:00:00"/>
    <d v="2023-05-20T00:00:00"/>
    <s v="B.Vijaya Lakshmi"/>
    <n v="100000"/>
    <x v="1"/>
    <n v="47000"/>
    <x v="0"/>
  </r>
  <r>
    <s v="R010"/>
    <d v="2021-01-24T00:00:00"/>
    <d v="2022-12-15T00:00:00"/>
    <s v="N.Satyanarayana"/>
    <n v="55000"/>
    <x v="0"/>
    <n v="20000"/>
    <x v="0"/>
  </r>
  <r>
    <s v="R011"/>
    <d v="2021-01-26T00:00:00"/>
    <d v="2023-06-22T00:00:00"/>
    <s v="P.Ramakrishna"/>
    <n v="120000"/>
    <x v="1"/>
    <n v="56000"/>
    <x v="0"/>
  </r>
  <r>
    <s v="R012"/>
    <d v="2021-01-28T00:00:00"/>
    <d v="2023-03-05T00:00:00"/>
    <s v="M.Bhavani"/>
    <n v="45000"/>
    <x v="0"/>
    <n v="15000"/>
    <x v="0"/>
  </r>
  <r>
    <s v="R013"/>
    <d v="2021-01-30T00:00:00"/>
    <d v="2023-08-18T00:00:00"/>
    <s v="S.Krishna Rao"/>
    <n v="85000"/>
    <x v="1"/>
    <n v="39000"/>
    <x v="0"/>
  </r>
  <r>
    <s v="R014"/>
    <d v="2021-02-01T00:00:00"/>
    <d v="2023-01-25T00:00:00"/>
    <s v="D.Venkatesh"/>
    <n v="65000"/>
    <x v="0"/>
    <n v="24000"/>
    <x v="0"/>
  </r>
  <r>
    <s v="R015"/>
    <d v="2021-02-03T00:00:00"/>
    <d v="2022-11-12T00:00:00"/>
    <s v="T.Nagaraju"/>
    <n v="30000"/>
    <x v="0"/>
    <n v="9500"/>
    <x v="0"/>
  </r>
  <r>
    <s v="R016"/>
    <d v="2021-02-05T00:00:00"/>
    <d v="2023-04-30T00:00:00"/>
    <s v="G.Saraswathi"/>
    <n v="110000"/>
    <x v="1"/>
    <n v="50000"/>
    <x v="0"/>
  </r>
  <r>
    <s v="R017"/>
    <d v="2021-02-07T00:00:00"/>
    <d v="2023-02-20T00:00:00"/>
    <s v="K.Rajesh Kumar"/>
    <n v="50000"/>
    <x v="0"/>
    <n v="18000"/>
    <x v="0"/>
  </r>
  <r>
    <s v="R018"/>
    <d v="2021-02-09T00:00:00"/>
    <d v="2023-07-15T00:00:00"/>
    <s v="P.Anitha Devi"/>
    <n v="95000"/>
    <x v="1"/>
    <n v="44000"/>
    <x v="0"/>
  </r>
  <r>
    <s v="R019"/>
    <d v="2021-02-11T00:00:00"/>
    <d v="2022-12-28T00:00:00"/>
    <s v="M.Sujatha"/>
    <n v="60000"/>
    <x v="0"/>
    <n v="21000"/>
    <x v="0"/>
  </r>
  <r>
    <s v="R020"/>
    <d v="2021-02-13T00:00:00"/>
    <d v="2023-08-10T00:00:00"/>
    <s v="A.Nagaraju"/>
    <n v="130000"/>
    <x v="1"/>
    <n v="61000"/>
    <x v="0"/>
  </r>
  <r>
    <s v="R021"/>
    <d v="2021-01-15T00:00:00"/>
    <d v="2022-12-20T00:00:00"/>
    <s v="S.Venkatesh"/>
    <n v="50000"/>
    <x v="0"/>
    <n v="18000"/>
    <x v="0"/>
  </r>
  <r>
    <s v="R022"/>
    <d v="2021-01-22T00:00:00"/>
    <d v="2023-03-18T00:00:00"/>
    <s v="K.Rambabu"/>
    <n v="75000"/>
    <x v="0"/>
    <n v="32000"/>
    <x v="0"/>
  </r>
  <r>
    <s v="R023"/>
    <d v="2021-02-05T00:00:00"/>
    <d v="2023-01-10T00:00:00"/>
    <s v="P.Lakshmi"/>
    <n v="40000"/>
    <x v="0"/>
    <n v="14500"/>
    <x v="0"/>
  </r>
  <r>
    <s v="R024"/>
    <d v="2021-02-18T00:00:00"/>
    <d v="2023-06-25T00:00:00"/>
    <s v="B.Srinivas"/>
    <n v="90000"/>
    <x v="1"/>
    <n v="41000"/>
    <x v="0"/>
  </r>
  <r>
    <s v="R025"/>
    <d v="2021-03-02T00:00:00"/>
    <d v="2023-02-14T00:00:00"/>
    <s v="M.Rajesh"/>
    <n v="60000"/>
    <x v="0"/>
    <n v="25000"/>
    <x v="0"/>
  </r>
  <r>
    <s v="R026"/>
    <d v="2021-03-10T00:00:00"/>
    <d v="2022-11-30T00:00:00"/>
    <s v="T.Satyanarayana"/>
    <n v="35000"/>
    <x v="0"/>
    <n v="11000"/>
    <x v="0"/>
  </r>
  <r>
    <s v="R027"/>
    <d v="2021-03-21T00:00:00"/>
    <d v="2023-04-15T00:00:00"/>
    <s v="K.Durga Devi"/>
    <n v="120000"/>
    <x v="0"/>
    <n v="52000"/>
    <x v="0"/>
  </r>
  <r>
    <s v="R028"/>
    <d v="2021-04-04T00:00:00"/>
    <d v="2022-09-10T00:00:00"/>
    <s v="R.Nagaraju"/>
    <n v="45000"/>
    <x v="0"/>
    <n v="15000"/>
    <x v="0"/>
  </r>
  <r>
    <s v="R029"/>
    <d v="2021-04-15T00:00:00"/>
    <d v="2023-05-20T00:00:00"/>
    <s v="S.Annapurna"/>
    <n v="100000"/>
    <x v="1"/>
    <n v="47000"/>
    <x v="0"/>
  </r>
  <r>
    <s v="R030"/>
    <d v="2021-04-28T00:00:00"/>
    <d v="2022-12-08T00:00:00"/>
    <s v="G.Prasad"/>
    <n v="70000"/>
    <x v="0"/>
    <n v="26000"/>
    <x v="0"/>
  </r>
  <r>
    <s v="R031"/>
    <d v="2021-05-09T00:00:00"/>
    <d v="2023-08-18T00:00:00"/>
    <s v="P.Sujatha"/>
    <n v="80000"/>
    <x v="0"/>
    <n v="36000"/>
    <x v="0"/>
  </r>
  <r>
    <s v="R032"/>
    <d v="2021-05-22T00:00:00"/>
    <d v="2023-01-05T00:00:00"/>
    <s v="K.Ramana"/>
    <n v="30000"/>
    <x v="0"/>
    <n v="9500"/>
    <x v="0"/>
  </r>
  <r>
    <s v="R033"/>
    <d v="2021-06-01T00:00:00"/>
    <d v="2023-07-12T00:00:00"/>
    <s v="D.Bhavani"/>
    <n v="110000"/>
    <x v="1"/>
    <n v="50000"/>
    <x v="0"/>
  </r>
  <r>
    <s v="R034"/>
    <d v="2021-06-18T00:00:00"/>
    <d v="2023-02-25T00:00:00"/>
    <s v="A.Krishna Rao"/>
    <n v="65000"/>
    <x v="0"/>
    <n v="24000"/>
    <x v="0"/>
  </r>
  <r>
    <s v="R035"/>
    <d v="2021-07-02T00:00:00"/>
    <d v="2022-10-16T00:00:00"/>
    <s v="T.Venkata Rao"/>
    <n v="55000"/>
    <x v="0"/>
    <n v="17000"/>
    <x v="0"/>
  </r>
  <r>
    <s v="R036"/>
    <d v="2021-07-20T00:00:00"/>
    <d v="2023-05-08T00:00:00"/>
    <s v="M.Satish Kumar"/>
    <n v="85000"/>
    <x v="0"/>
    <n v="38000"/>
    <x v="0"/>
  </r>
  <r>
    <s v="R037"/>
    <d v="2021-08-05T00:00:00"/>
    <d v="2022-12-22T00:00:00"/>
    <s v="B.Rani Kumari"/>
    <n v="25000"/>
    <x v="0"/>
    <n v="7000"/>
    <x v="0"/>
  </r>
  <r>
    <s v="R038"/>
    <d v="2021-08-19T00:00:00"/>
    <d v="2023-06-30T00:00:00"/>
    <s v="N.Veerabhadra Rao"/>
    <n v="95000"/>
    <x v="1"/>
    <n v="43000"/>
    <x v="0"/>
  </r>
  <r>
    <s v="R039"/>
    <d v="2021-09-01T00:00:00"/>
    <d v="2023-03-15T00:00:00"/>
    <s v="J.Koteswara Rao"/>
    <n v="50000"/>
    <x v="0"/>
    <n v="18000"/>
    <x v="0"/>
  </r>
  <r>
    <s v="R040"/>
    <d v="2021-09-14T00:00:00"/>
    <d v="2023-01-27T00:00:00"/>
    <s v="S.Lakshmi Narayana"/>
    <n v="60000"/>
    <x v="0"/>
    <n v="22000"/>
    <x v="0"/>
  </r>
  <r>
    <s v="R041"/>
    <d v="2021-09-28T00:00:00"/>
    <d v="2023-08-12T00:00:00"/>
    <s v="P.Saraswathi"/>
    <n v="130000"/>
    <x v="1"/>
    <n v="62000"/>
    <x v="0"/>
  </r>
  <r>
    <s v="R042"/>
    <d v="2021-10-10T00:00:00"/>
    <d v="2023-04-25T00:00:00"/>
    <s v="R.Manikyam"/>
    <n v="40000"/>
    <x v="0"/>
    <n v="13000"/>
    <x v="0"/>
  </r>
  <r>
    <s v="R043"/>
    <d v="2021-10-22T00:00:00"/>
    <d v="2022-11-18T00:00:00"/>
    <s v="G.Anil Kumar"/>
    <n v="70000"/>
    <x v="0"/>
    <n v="25000"/>
    <x v="0"/>
  </r>
  <r>
    <s v="R044"/>
    <d v="2021-11-05T00:00:00"/>
    <d v="2023-07-20T00:00:00"/>
    <s v="V.Satya Prasad"/>
    <n v="150000"/>
    <x v="1"/>
    <n v="70000"/>
    <x v="0"/>
  </r>
  <r>
    <s v="R045"/>
    <d v="2021-11-18T00:00:00"/>
    <d v="2023-02-05T00:00:00"/>
    <s v="M.Rajeswari"/>
    <n v="45000"/>
    <x v="0"/>
    <n v="16000"/>
    <x v="0"/>
  </r>
  <r>
    <s v="R046"/>
    <d v="2021-12-02T00:00:00"/>
    <d v="2023-08-15T00:00:00"/>
    <s v="K.Venkatesh"/>
    <n v="80000"/>
    <x v="0"/>
    <n v="34000"/>
    <x v="0"/>
  </r>
  <r>
    <s v="R047"/>
    <d v="2021-12-15T00:00:00"/>
    <d v="2023-03-28T00:00:00"/>
    <s v="B.Suresh"/>
    <n v="60000"/>
    <x v="0"/>
    <n v="21000"/>
    <x v="0"/>
  </r>
  <r>
    <s v="R048"/>
    <d v="2022-01-05T00:00:00"/>
    <d v="2023-10-12T00:00:00"/>
    <s v="P.Ramadevi"/>
    <n v="100000"/>
    <x v="1"/>
    <n v="46000"/>
    <x v="0"/>
  </r>
  <r>
    <s v="R049"/>
    <d v="2022-01-18T00:00:00"/>
    <d v="2023-05-25T00:00:00"/>
    <s v="T.Nagarjuna"/>
    <n v="45000"/>
    <x v="0"/>
    <n v="15000"/>
    <x v="0"/>
  </r>
  <r>
    <s v="R050"/>
    <d v="2022-02-01T00:00:00"/>
    <d v="2023-12-18T00:00:00"/>
    <s v="M.Vijayalakshmi"/>
    <n v="120000"/>
    <x v="1"/>
    <n v="55000"/>
    <x v="0"/>
  </r>
  <r>
    <s v="R051"/>
    <d v="2022-02-14T00:00:00"/>
    <d v="2023-07-08T00:00:00"/>
    <s v="D.Satyanarayana"/>
    <n v="70000"/>
    <x v="0"/>
    <n v="26000"/>
    <x v="0"/>
  </r>
  <r>
    <s v="R052"/>
    <d v="2022-02-28T00:00:00"/>
    <d v="2023-04-20T00:00:00"/>
    <s v="K.Anusha"/>
    <n v="35000"/>
    <x v="0"/>
    <n v="10000"/>
    <x v="0"/>
  </r>
  <r>
    <s v="R053"/>
    <d v="2022-03-10T00:00:00"/>
    <d v="2023-09-14T00:00:00"/>
    <s v="S.Rambabu"/>
    <n v="90000"/>
    <x v="0"/>
    <n v="39000"/>
    <x v="0"/>
  </r>
  <r>
    <s v="R054"/>
    <d v="2022-03-24T00:00:00"/>
    <d v="2023-06-05T00:00:00"/>
    <s v="G.Lakshmi"/>
    <n v="50000"/>
    <x v="0"/>
    <n v="17000"/>
    <x v="0"/>
  </r>
  <r>
    <s v="R055"/>
    <d v="2022-04-08T00:00:00"/>
    <d v="2024-01-22T00:00:00"/>
    <s v="P.Krishna Rao"/>
    <n v="150000"/>
    <x v="1"/>
    <n v="72000"/>
    <x v="0"/>
  </r>
  <r>
    <s v="R056"/>
    <d v="2022-04-22T00:00:00"/>
    <d v="2023-08-10T00:00:00"/>
    <s v="V.Ramana"/>
    <n v="65000"/>
    <x v="0"/>
    <n v="23000"/>
    <x v="0"/>
  </r>
  <r>
    <s v="R057"/>
    <d v="2022-05-05T00:00:00"/>
    <d v="2024-02-28T00:00:00"/>
    <s v="N.Sujatha"/>
    <n v="110000"/>
    <x v="1"/>
    <n v="51000"/>
    <x v="0"/>
  </r>
  <r>
    <s v="R058"/>
    <d v="2022-05-18T00:00:00"/>
    <d v="2023-11-15T00:00:00"/>
    <s v="J.Prasad"/>
    <n v="40000"/>
    <x v="0"/>
    <n v="13000"/>
    <x v="0"/>
  </r>
  <r>
    <s v="R059"/>
    <d v="2022-06-02T00:00:00"/>
    <d v="2024-05-07T00:00:00"/>
    <s v="M.Bhavani"/>
    <n v="95000"/>
    <x v="1"/>
    <n v="43000"/>
    <x v="0"/>
  </r>
  <r>
    <s v="R060"/>
    <d v="2022-06-15T00:00:00"/>
    <d v="2023-09-18T00:00:00"/>
    <s v="K.Srinivas"/>
    <n v="75000"/>
    <x v="0"/>
    <n v="29000"/>
    <x v="0"/>
  </r>
  <r>
    <s v="R061"/>
    <d v="2022-07-01T00:00:00"/>
    <d v="2024-03-12T00:00:00"/>
    <s v="A.Nagaraju"/>
    <n v="130000"/>
    <x v="1"/>
    <n v="61000"/>
    <x v="0"/>
  </r>
  <r>
    <s v="R062"/>
    <d v="2022-07-14T00:00:00"/>
    <d v="2023-10-25T00:00:00"/>
    <s v="D.Rajeswari"/>
    <n v="55000"/>
    <x v="0"/>
    <n v="19000"/>
    <x v="0"/>
  </r>
  <r>
    <s v="R063"/>
    <d v="2022-07-28T00:00:00"/>
    <d v="2024-01-08T00:00:00"/>
    <s v="P.Venkata Rao"/>
    <n v="85000"/>
    <x v="0"/>
    <n v="36000"/>
    <x v="0"/>
  </r>
  <r>
    <s v="R064"/>
    <d v="2022-08-10T00:00:00"/>
    <d v="2023-06-20T00:00:00"/>
    <s v="T.Annapurna"/>
    <n v="30000"/>
    <x v="0"/>
    <n v="8500"/>
    <x v="0"/>
  </r>
  <r>
    <s v="R065"/>
    <d v="2022-08-25T00:00:00"/>
    <d v="2024-04-15T00:00:00"/>
    <s v="G.Satish Kumar"/>
    <n v="140000"/>
    <x v="1"/>
    <n v="68000"/>
    <x v="0"/>
  </r>
  <r>
    <s v="R066"/>
    <d v="2022-09-08T00:00:00"/>
    <d v="2023-12-28T00:00:00"/>
    <s v="M.Rajyalakshmi"/>
    <n v="60000"/>
    <x v="0"/>
    <n v="22000"/>
    <x v="0"/>
  </r>
  <r>
    <s v="R067"/>
    <d v="2022-09-22T00:00:00"/>
    <d v="2024-07-10T00:00:00"/>
    <s v="K.Veerabhadra Rao"/>
    <n v="105000"/>
    <x v="1"/>
    <n v="49000"/>
    <x v="0"/>
  </r>
  <r>
    <s v="R068"/>
    <d v="2022-10-05T00:00:00"/>
    <d v="2024-02-22T00:00:00"/>
    <s v="B.Padmavathi"/>
    <n v="45000"/>
    <x v="0"/>
    <n v="15000"/>
    <x v="0"/>
  </r>
  <r>
    <s v="R069"/>
    <d v="2022-10-18T00:00:00"/>
    <d v="2024-08-08T00:00:00"/>
    <s v="S.Krishna Murthy"/>
    <n v="160000"/>
    <x v="1"/>
    <n v="78000"/>
    <x v="0"/>
  </r>
  <r>
    <s v="R070"/>
    <d v="2022-11-01T00:00:00"/>
    <d v="2024-05-18T00:00:00"/>
    <s v="P.Satyanarayana"/>
    <n v="70000"/>
    <x v="0"/>
    <n v="27000"/>
    <x v="0"/>
  </r>
  <r>
    <s v="R071"/>
    <d v="2022-11-15T00:00:00"/>
    <d v="2024-07-25T00:00:00"/>
    <s v="M.Venkata Lakshmi"/>
    <n v="90000"/>
    <x v="1"/>
    <n v="42000"/>
    <x v="0"/>
  </r>
  <r>
    <s v="R072"/>
    <d v="2022-11-28T00:00:00"/>
    <d v="2024-03-12T00:00:00"/>
    <s v="K.Rajesh Kumar"/>
    <n v="50000"/>
    <x v="0"/>
    <n v="18000"/>
    <x v="0"/>
  </r>
  <r>
    <s v="R073"/>
    <d v="2022-12-10T00:00:00"/>
    <d v="2024-08-08T00:00:00"/>
    <s v="P.Anitha Devi"/>
    <n v="120000"/>
    <x v="1"/>
    <n v="58000"/>
    <x v="0"/>
  </r>
  <r>
    <s v="R074"/>
    <d v="2022-12-22T00:00:00"/>
    <d v="2024-04-18T00:00:00"/>
    <s v="G.Srinivasa Rao"/>
    <n v="65000"/>
    <x v="0"/>
    <n v="24000"/>
    <x v="0"/>
  </r>
  <r>
    <s v="R075"/>
    <d v="2023-01-05T00:00:00"/>
    <d v="2024-09-20T00:00:00"/>
    <s v="T.Nagamani"/>
    <n v="75000"/>
    <x v="0"/>
    <n v="31000"/>
    <x v="0"/>
  </r>
  <r>
    <s v="R076"/>
    <d v="2023-01-18T00:00:00"/>
    <d v="2024-05-02T00:00:00"/>
    <s v="M.Krishna Mohan"/>
    <n v="100000"/>
    <x v="1"/>
    <n v="47000"/>
    <x v="0"/>
  </r>
  <r>
    <s v="R077"/>
    <d v="2023-02-01T00:00:00"/>
    <d v="2024-11-15T00:00:00"/>
    <s v="D.Vijaya Lakshmi"/>
    <n v="55000"/>
    <x v="0"/>
    <n v="21000"/>
    <x v="0"/>
  </r>
  <r>
    <s v="R078"/>
    <d v="2023-02-14T00:00:00"/>
    <d v="2024-06-28T00:00:00"/>
    <s v="S.Ramakrishna"/>
    <n v="130000"/>
    <x v="1"/>
    <n v="62000"/>
    <x v="0"/>
  </r>
  <r>
    <s v="R079"/>
    <d v="2023-02-28T00:00:00"/>
    <d v="2025-01-10T00:00:00"/>
    <s v="B.Satya Prakash"/>
    <n v="85000"/>
    <x v="1"/>
    <n v="39000"/>
    <x v="0"/>
  </r>
  <r>
    <s v="R080"/>
    <d v="2023-03-12T00:00:00"/>
    <d v="2024-07-22T00:00:00"/>
    <s v="K.Saraswathi"/>
    <n v="45000"/>
    <x v="0"/>
    <n v="15000"/>
    <x v="0"/>
  </r>
  <r>
    <s v="R081"/>
    <d v="2023-03-25T00:00:00"/>
    <d v="2024-12-05T00:00:00"/>
    <s v="P.Venkateswara Rao"/>
    <n v="150000"/>
    <x v="1"/>
    <n v="73000"/>
    <x v="0"/>
  </r>
  <r>
    <s v="R082"/>
    <d v="2023-04-08T00:00:00"/>
    <d v="2024-08-18T00:00:00"/>
    <s v="M.Lakshmi Narayana"/>
    <n v="70000"/>
    <x v="0"/>
    <n v="27000"/>
    <x v="0"/>
  </r>
  <r>
    <s v="R083"/>
    <d v="2023-04-22T00:00:00"/>
    <d v="2025-02-02T00:00:00"/>
    <s v="T.Rambabu"/>
    <n v="95000"/>
    <x v="1"/>
    <n v="44000"/>
    <x v="0"/>
  </r>
  <r>
    <s v="R084"/>
    <d v="2023-05-05T00:00:00"/>
    <d v="2024-09-15T00:00:00"/>
    <s v="D.Annapurna"/>
    <n v="40000"/>
    <x v="0"/>
    <n v="12500"/>
    <x v="0"/>
  </r>
  <r>
    <s v="R085"/>
    <d v="2023-05-18T00:00:00"/>
    <d v="2025-03-28T00:00:00"/>
    <s v="K.Surya Prakash"/>
    <n v="110000"/>
    <x v="1"/>
    <n v="52000"/>
    <x v="0"/>
  </r>
  <r>
    <s v="R086"/>
    <d v="2023-06-01T00:00:00"/>
    <d v="2024-10-10T00:00:00"/>
    <s v="G.Rajeswari"/>
    <n v="60000"/>
    <x v="0"/>
    <n v="22000"/>
    <x v="0"/>
  </r>
  <r>
    <s v="R087"/>
    <d v="2023-06-14T00:00:00"/>
    <d v="2025-04-22T00:00:00"/>
    <s v="M.Satyanarayana"/>
    <n v="140000"/>
    <x v="1"/>
    <n v="68000"/>
    <x v="0"/>
  </r>
  <r>
    <s v="R088"/>
    <d v="2023-06-28T00:00:00"/>
    <d v="2024-12-08T00:00:00"/>
    <s v="P.Bhavani Devi"/>
    <n v="50000"/>
    <x v="0"/>
    <n v="17500"/>
    <x v="0"/>
  </r>
  <r>
    <s v="R089"/>
    <d v="2023-07-12T00:00:00"/>
    <d v="2025-05-18T00:00:00"/>
    <s v="S.Veerabhadra Rao"/>
    <n v="125000"/>
    <x v="1"/>
    <n v="60000"/>
    <x v="0"/>
  </r>
  <r>
    <s v="R090"/>
    <d v="2023-07-25T00:00:00"/>
    <d v="2025-01-02T00:00:00"/>
    <s v="K.Nagamani"/>
    <n v="80000"/>
    <x v="0"/>
    <n v="35000"/>
    <x v="0"/>
  </r>
  <r>
    <s v="R091"/>
    <d v="2023-08-08T00:00:00"/>
    <d v="2025-07-15T00:00:00"/>
    <s v="D.Krishna Kumari"/>
    <n v="105000"/>
    <x v="1"/>
    <n v="49000"/>
    <x v="0"/>
  </r>
  <r>
    <s v="R092"/>
    <d v="2023-08-22T00:00:00"/>
    <d v="2025-02-28T00:00:00"/>
    <s v="P.Suresh Babu"/>
    <n v="65000"/>
    <x v="0"/>
    <n v="24000"/>
    <x v="0"/>
  </r>
  <r>
    <s v="R093"/>
    <d v="2023-09-05T00:00:00"/>
    <d v="2025-08-10T00:00:00"/>
    <s v="M.Ramadevi"/>
    <n v="135000"/>
    <x v="1"/>
    <n v="64000"/>
    <x v="0"/>
  </r>
  <r>
    <s v="R094"/>
    <d v="2023-09-18T00:00:00"/>
    <d v="2025-03-22T00:00:00"/>
    <s v="T.Venkata Rao"/>
    <n v="55000"/>
    <x v="0"/>
    <n v="19000"/>
    <x v="0"/>
  </r>
  <r>
    <s v="R095"/>
    <d v="2023-10-01T00:00:00"/>
    <d v="2025-09-05T00:00:00"/>
    <s v="G.Satyanarayana"/>
    <n v="90000"/>
    <x v="1"/>
    <n v="42000"/>
    <x v="0"/>
  </r>
  <r>
    <s v="R096"/>
    <d v="2023-10-15T00:00:00"/>
    <d v="2025-01-12T00:00:00"/>
    <s v="K.Ramakrishna"/>
    <n v="75000"/>
    <x v="0"/>
    <n v="32000"/>
    <x v="0"/>
  </r>
  <r>
    <s v="R097"/>
    <d v="2023-10-28T00:00:00"/>
    <d v="2025-02-25T00:00:00"/>
    <s v="P.Vijaya Lakshmi"/>
    <n v="50000"/>
    <x v="0"/>
    <n v="18000"/>
    <x v="0"/>
  </r>
  <r>
    <s v="R098"/>
    <d v="2023-11-10T00:00:00"/>
    <d v="2025-03-18T00:00:00"/>
    <s v="G.Nageswara Rao"/>
    <n v="120000"/>
    <x v="1"/>
    <n v="55000"/>
    <x v="0"/>
  </r>
  <r>
    <s v="R099"/>
    <d v="2023-11-22T00:00:00"/>
    <d v="2025-04-10T00:00:00"/>
    <s v="M.Sujatha"/>
    <n v="65000"/>
    <x v="0"/>
    <n v="24000"/>
    <x v="0"/>
  </r>
  <r>
    <s v="R100"/>
    <d v="2023-12-05T00:00:00"/>
    <d v="2025-05-22T00:00:00"/>
    <s v="T.Satish Kumar"/>
    <n v="90000"/>
    <x v="1"/>
    <n v="42000"/>
    <x v="0"/>
  </r>
  <r>
    <s v="R101"/>
    <d v="2023-12-18T00:00:00"/>
    <d v="2025-06-15T00:00:00"/>
    <s v="K.Annapurna"/>
    <n v="45000"/>
    <x v="0"/>
    <n v="15000"/>
    <x v="0"/>
  </r>
  <r>
    <s v="R102"/>
    <d v="2024-01-08T00:00:00"/>
    <d v="2025-07-28T00:00:00"/>
    <s v="D.Venkatesh"/>
    <n v="130000"/>
    <x v="1"/>
    <n v="62000"/>
    <x v="0"/>
  </r>
  <r>
    <s v="R103"/>
    <d v="2024-01-20T00:00:00"/>
    <d v="2025-08-10T00:00:00"/>
    <s v="P.Rajesh"/>
    <n v="70000"/>
    <x v="0"/>
    <n v="28000"/>
    <x v="0"/>
  </r>
  <r>
    <s v="R104"/>
    <d v="2024-02-05T00:00:00"/>
    <d v="2025-09-22T00:00:00"/>
    <s v="S.Lakshmi"/>
    <n v="100000"/>
    <x v="1"/>
    <n v="47000"/>
    <x v="0"/>
  </r>
  <r>
    <s v="R105"/>
    <d v="2024-02-18T00:00:00"/>
    <d v="2025-10-15T00:00:00"/>
    <s v="B.Rambabu"/>
    <n v="55000"/>
    <x v="0"/>
    <n v="19000"/>
    <x v="0"/>
  </r>
  <r>
    <s v="R106"/>
    <d v="2024-03-02T00:00:00"/>
    <d v="2025-11-28T00:00:00"/>
    <s v="M.Krishna Rao"/>
    <n v="150000"/>
    <x v="1"/>
    <n v="72000"/>
    <x v="0"/>
  </r>
  <r>
    <s v="R107"/>
    <d v="2024-03-15T00:00:00"/>
    <d v="2025-12-10T00:00:00"/>
    <s v="T.Nagaraju"/>
    <n v="80000"/>
    <x v="0"/>
    <n v="34000"/>
    <x v="0"/>
  </r>
  <r>
    <s v="R108"/>
    <d v="2024-03-28T00:00:00"/>
    <d v="2026-01-05T00:00:00"/>
    <s v="G.Saraswathi"/>
    <n v="60000"/>
    <x v="0"/>
    <n v="22000"/>
    <x v="0"/>
  </r>
  <r>
    <s v="R109"/>
    <d v="2024-04-10T00:00:00"/>
    <d v="2026-01-20T00:00:00"/>
    <s v="K.Veerabhadra Rao"/>
    <n v="140000"/>
    <x v="1"/>
    <n v="68000"/>
    <x v="0"/>
  </r>
  <r>
    <s v="R110"/>
    <d v="2024-04-22T00:00:00"/>
    <d v="2026-02-15T00:00:00"/>
    <s v="D.Rani Kumari"/>
    <n v="50000"/>
    <x v="0"/>
    <n v="17500"/>
    <x v="0"/>
  </r>
  <r>
    <s v="R111"/>
    <d v="2024-05-08T00:00:00"/>
    <d v="2026-02-28T00:00:00"/>
    <s v="P.Srinivas"/>
    <n v="110000"/>
    <x v="1"/>
    <n v="51000"/>
    <x v="0"/>
  </r>
  <r>
    <s v="R112"/>
    <d v="2024-05-20T00:00:00"/>
    <d v="2026-03-12T00:00:00"/>
    <s v="M.Rajyalakshmi"/>
    <n v="75000"/>
    <x v="0"/>
    <n v="30000"/>
    <x v="0"/>
  </r>
  <r>
    <s v="R113"/>
    <d v="2024-06-05T00:00:00"/>
    <d v="2026-03-25T00:00:00"/>
    <s v="S.Krishna Murthy"/>
    <n v="125000"/>
    <x v="1"/>
    <n v="59000"/>
    <x v="0"/>
  </r>
  <r>
    <s v="R114"/>
    <d v="2024-06-18T00:00:00"/>
    <d v="2026-04-10T00:00:00"/>
    <s v="T.Anusha"/>
    <n v="45000"/>
    <x v="0"/>
    <n v="14500"/>
    <x v="0"/>
  </r>
  <r>
    <s v="R115"/>
    <d v="2024-07-02T00:00:00"/>
    <d v="2026-04-22T00:00:00"/>
    <s v="K.Satyanarayana"/>
    <n v="90000"/>
    <x v="1"/>
    <n v="41000"/>
    <x v="0"/>
  </r>
  <r>
    <s v="R116"/>
    <d v="2024-07-15T00:00:00"/>
    <d v="2026-05-05T00:00:00"/>
    <s v="G.Venkatesh"/>
    <n v="65000"/>
    <x v="0"/>
    <n v="23000"/>
    <x v="0"/>
  </r>
  <r>
    <s v="R117"/>
    <d v="2024-07-28T00:00:00"/>
    <d v="2026-05-18T00:00:00"/>
    <s v="P.Bhavani"/>
    <n v="120000"/>
    <x v="1"/>
    <n v="56000"/>
    <x v="0"/>
  </r>
  <r>
    <s v="R118"/>
    <d v="2024-08-10T00:00:00"/>
    <d v="2026-05-28T00:00:00"/>
    <s v="D.Nagaraju"/>
    <n v="70000"/>
    <x v="0"/>
    <n v="26000"/>
    <x v="0"/>
  </r>
  <r>
    <s v="R119"/>
    <d v="2024-08-22T00:00:00"/>
    <d v="2026-06-10T00:00:00"/>
    <s v="M.Prasad"/>
    <n v="160000"/>
    <x v="1"/>
    <n v="78000"/>
    <x v="0"/>
  </r>
  <r>
    <s v="R120"/>
    <d v="2024-09-05T00:00:00"/>
    <d v="2026-06-20T00:00:00"/>
    <s v="K.Lakshmi Devi"/>
    <n v="85000"/>
    <x v="0"/>
    <n v="36000"/>
    <x v="0"/>
  </r>
  <r>
    <s v="R121"/>
    <d v="2025-01-10T00:00:00"/>
    <d v="2025-10-15T00:00:00"/>
    <s v="P.Ramakrishna"/>
    <n v="50000"/>
    <x v="2"/>
    <n v="9000"/>
    <x v="0"/>
  </r>
  <r>
    <s v="R122"/>
    <d v="2025-01-18T00:00:00"/>
    <d v="2025-11-20T00:00:00"/>
    <s v="K.Sujatha"/>
    <n v="75000"/>
    <x v="2"/>
    <n v="14000"/>
    <x v="0"/>
  </r>
  <r>
    <s v="R123"/>
    <d v="2025-02-05T00:00:00"/>
    <d v="2025-12-10T00:00:00"/>
    <s v="M.Venkatesh"/>
    <n v="100000"/>
    <x v="2"/>
    <n v="18000"/>
    <x v="0"/>
  </r>
  <r>
    <s v="R124"/>
    <d v="2025-02-22T00:00:00"/>
    <d v="2026-01-15T00:00:00"/>
    <s v="D.Nagaraju"/>
    <n v="60000"/>
    <x v="2"/>
    <n v="10000"/>
    <x v="0"/>
  </r>
  <r>
    <s v="R125"/>
    <d v="2025-03-10T00:00:00"/>
    <d v="2026-02-20T00:00:00"/>
    <s v="P.Annapurna"/>
    <n v="120000"/>
    <x v="2"/>
    <n v="22000"/>
    <x v="0"/>
  </r>
  <r>
    <s v="R126"/>
    <d v="2025-03-25T00:00:00"/>
    <d v="2026-03-15T00:00:00"/>
    <s v="G.Rajesh"/>
    <n v="80000"/>
    <x v="2"/>
    <n v="14000"/>
    <x v="0"/>
  </r>
  <r>
    <s v="R127"/>
    <d v="2025-04-12T00:00:00"/>
    <d v="2026-04-10T00:00:00"/>
    <s v="T.Srinivas"/>
    <n v="90000"/>
    <x v="2"/>
    <n v="16000"/>
    <x v="0"/>
  </r>
  <r>
    <s v="R128"/>
    <d v="2025-05-01T00:00:00"/>
    <d v="2026-05-05T00:00:00"/>
    <s v="K.Bhavani"/>
    <n v="70000"/>
    <x v="2"/>
    <n v="12000"/>
    <x v="0"/>
  </r>
  <r>
    <s v="R129"/>
    <d v="2025-05-18T00:00:00"/>
    <d v="2026-05-20T00:00:00"/>
    <s v="M.Prasad"/>
    <n v="150000"/>
    <x v="2"/>
    <n v="28000"/>
    <x v="0"/>
  </r>
  <r>
    <s v="R130"/>
    <d v="2025-06-02T00:00:00"/>
    <d v="2026-06-15T00:00:00"/>
    <s v="S.Lakshmi"/>
    <n v="110000"/>
    <x v="2"/>
    <n v="20000"/>
    <x v="0"/>
  </r>
  <r>
    <s v="R131"/>
    <d v="2026-01-10T00:00:00"/>
    <d v="2026-04-20T00:00:00"/>
    <s v="P.Krishna"/>
    <n v="50000"/>
    <x v="2"/>
    <n v="5000"/>
    <x v="0"/>
  </r>
  <r>
    <s v="R132"/>
    <d v="2026-01-25T00:00:00"/>
    <d v="2026-05-15T00:00:00"/>
    <s v="D.Rani"/>
    <n v="65000"/>
    <x v="2"/>
    <n v="6500"/>
    <x v="0"/>
  </r>
  <r>
    <s v="R133"/>
    <d v="2026-02-08T00:00:00"/>
    <d v="2026-06-01T00:00:00"/>
    <s v="K.Satya"/>
    <n v="100000"/>
    <x v="2"/>
    <n v="10000"/>
    <x v="0"/>
  </r>
  <r>
    <s v="R134"/>
    <d v="2026-02-20T00:00:00"/>
    <d v="2026-06-15T00:00:00"/>
    <s v="G.Venkata Rao"/>
    <n v="85000"/>
    <x v="2"/>
    <n v="8500"/>
    <x v="0"/>
  </r>
  <r>
    <s v="R135"/>
    <d v="2026-03-05T00:00:00"/>
    <d v="2026-06-20T00:00:00"/>
    <s v="M.Rambabu"/>
    <n v="70000"/>
    <x v="2"/>
    <n v="7000"/>
    <x v="0"/>
  </r>
  <r>
    <s v="ACT001"/>
    <d v="2022-03-21T00:00:00"/>
    <s v="blank"/>
    <s v="Selaboyina Venkata Ramanna"/>
    <n v="45000"/>
    <x v="2"/>
    <s v="blank"/>
    <x v="1"/>
  </r>
  <r>
    <s v="ACT002"/>
    <d v="2022-05-12T00:00:00"/>
    <s v="blank"/>
    <s v="Nandigam Venkateswarao"/>
    <n v="60000"/>
    <x v="0"/>
    <s v="blank"/>
    <x v="1"/>
  </r>
  <r>
    <s v="ACT003"/>
    <d v="2021-05-03T00:00:00"/>
    <s v="blank"/>
    <s v="M.Radhakrishna"/>
    <n v="30000"/>
    <x v="2"/>
    <s v="blank"/>
    <x v="1"/>
  </r>
  <r>
    <s v="ACT004"/>
    <d v="2021-09-28T00:00:00"/>
    <s v="blank"/>
    <s v="B.Sunil Kumar"/>
    <n v="83000"/>
    <x v="0"/>
    <s v="blank"/>
    <x v="1"/>
  </r>
  <r>
    <s v="ACT005"/>
    <d v="2021-11-17T00:00:00"/>
    <s v="blank"/>
    <s v="Selaboyina Venkata Ramanna"/>
    <n v="100000"/>
    <x v="0"/>
    <s v="blank"/>
    <x v="1"/>
  </r>
  <r>
    <s v="ACT006"/>
    <d v="2021-05-29T00:00:00"/>
    <s v="blank"/>
    <s v="Vanga Srinivas"/>
    <n v="40000"/>
    <x v="2"/>
    <s v="blank"/>
    <x v="1"/>
  </r>
  <r>
    <s v="ACT007"/>
    <d v="2022-11-14T00:00:00"/>
    <s v="blank"/>
    <s v="Agandi Devi"/>
    <n v="134650"/>
    <x v="1"/>
    <s v="blank"/>
    <x v="1"/>
  </r>
  <r>
    <s v="ACT008"/>
    <d v="2022-12-03T00:00:00"/>
    <s v="blank"/>
    <s v="Koyi Ramesh"/>
    <n v="127000"/>
    <x v="1"/>
    <s v="blank"/>
    <x v="1"/>
  </r>
  <r>
    <s v="ACT009"/>
    <d v="2023-03-19T00:00:00"/>
    <s v="blank"/>
    <s v="Palivela Satish"/>
    <n v="110000"/>
    <x v="1"/>
    <s v="blank"/>
    <x v="1"/>
  </r>
  <r>
    <s v="ACT010"/>
    <d v="2023-06-21T00:00:00"/>
    <s v="blank"/>
    <s v="Yarlagadda Satish"/>
    <n v="63000"/>
    <x v="0"/>
    <s v="blank"/>
    <x v="1"/>
  </r>
  <r>
    <s v="ACT011"/>
    <d v="2023-07-22T00:00:00"/>
    <s v="blank"/>
    <s v="Nagarla Satyavathi"/>
    <n v="90000"/>
    <x v="0"/>
    <s v="blank"/>
    <x v="1"/>
  </r>
  <r>
    <s v="ACT012"/>
    <d v="2023-07-29T00:00:00"/>
    <s v="blank"/>
    <s v="Pallam Durga"/>
    <n v="40000"/>
    <x v="2"/>
    <s v="blank"/>
    <x v="1"/>
  </r>
  <r>
    <s v="ACT013"/>
    <d v="2023-09-25T00:00:00"/>
    <s v="blank"/>
    <s v="Chamchala Muthayavathi"/>
    <n v="80000"/>
    <x v="0"/>
    <s v="blank"/>
    <x v="1"/>
  </r>
  <r>
    <s v="ACT014"/>
    <d v="2023-10-05T00:00:00"/>
    <s v="blank"/>
    <s v="Yella Yesurathnam"/>
    <n v="30000"/>
    <x v="2"/>
    <s v="blank"/>
    <x v="1"/>
  </r>
  <r>
    <s v="ACT015"/>
    <d v="2023-10-04T00:00:00"/>
    <s v="blank"/>
    <s v="Doddla Kondalaravu"/>
    <n v="70000"/>
    <x v="0"/>
    <s v="blank"/>
    <x v="1"/>
  </r>
  <r>
    <s v="ACT016"/>
    <d v="2023-10-18T00:00:00"/>
    <s v="blank"/>
    <s v="Sk Sabana(In Shop)"/>
    <n v="70000"/>
    <x v="0"/>
    <s v="blank"/>
    <x v="1"/>
  </r>
  <r>
    <s v="ACT017"/>
    <d v="2023-11-27T00:00:00"/>
    <s v="blank"/>
    <s v="M.Rama Sai Krishna"/>
    <n v="32000"/>
    <x v="2"/>
    <s v="blank"/>
    <x v="1"/>
  </r>
  <r>
    <s v="ACT018"/>
    <d v="2023-11-30T00:00:00"/>
    <s v="blank"/>
    <s v="Rowthu Venkata Ramana"/>
    <n v="20000"/>
    <x v="2"/>
    <s v="blank"/>
    <x v="1"/>
  </r>
  <r>
    <s v="ACT019"/>
    <d v="2024-01-04T00:00:00"/>
    <s v="blank"/>
    <s v="Saka Sarath Chandra"/>
    <n v="20000"/>
    <x v="2"/>
    <s v="blank"/>
    <x v="1"/>
  </r>
  <r>
    <s v="ACT020"/>
    <d v="2023-12-20T00:00:00"/>
    <s v="blank"/>
    <s v="Pichi Parivesi"/>
    <n v="110000"/>
    <x v="1"/>
    <s v="blank"/>
    <x v="1"/>
  </r>
  <r>
    <s v="ACT021"/>
    <d v="2024-01-20T00:00:00"/>
    <s v="blank"/>
    <s v="Doddla Kondalaravu"/>
    <n v="30000"/>
    <x v="2"/>
    <s v="blank"/>
    <x v="1"/>
  </r>
  <r>
    <s v="ACT022"/>
    <d v="2024-02-15T00:00:00"/>
    <s v="blank"/>
    <s v="Karinki Nagu"/>
    <n v="340000"/>
    <x v="1"/>
    <s v="blank"/>
    <x v="1"/>
  </r>
  <r>
    <s v="ACT023"/>
    <d v="2024-02-19T00:00:00"/>
    <s v="blank"/>
    <s v="Vanga Srinivas "/>
    <n v="70000"/>
    <x v="0"/>
    <s v="blank"/>
    <x v="1"/>
  </r>
  <r>
    <s v="ACT024"/>
    <d v="2024-04-04T00:00:00"/>
    <s v="blank"/>
    <s v="Tatina Srinivas"/>
    <n v="67000"/>
    <x v="0"/>
    <s v="blank"/>
    <x v="1"/>
  </r>
  <r>
    <s v="ACT025"/>
    <d v="2024-04-08T00:00:00"/>
    <s v="blank"/>
    <s v="Katam Prakash"/>
    <n v="40000"/>
    <x v="2"/>
    <s v="blank"/>
    <x v="1"/>
  </r>
  <r>
    <s v="ACT026"/>
    <d v="2024-04-15T00:00:00"/>
    <s v="blank"/>
    <s v="Chenavarapu Raja"/>
    <n v="60000"/>
    <x v="0"/>
    <s v="blank"/>
    <x v="1"/>
  </r>
  <r>
    <s v="ACT027"/>
    <d v="2024-04-29T00:00:00"/>
    <s v="blank"/>
    <s v="V.Venkatesh"/>
    <n v="120000"/>
    <x v="1"/>
    <s v="blank"/>
    <x v="1"/>
  </r>
  <r>
    <s v="ACT028"/>
    <d v="2024-06-05T00:00:00"/>
    <s v="blank"/>
    <s v="V.Venkatesh"/>
    <n v="83000"/>
    <x v="0"/>
    <s v="blank"/>
    <x v="1"/>
  </r>
  <r>
    <s v="ACT029"/>
    <d v="2024-08-04T00:00:00"/>
    <s v="blank"/>
    <s v="K.M.Kaliesh"/>
    <n v="20000"/>
    <x v="2"/>
    <s v="blank"/>
    <x v="1"/>
  </r>
  <r>
    <s v="ACT030"/>
    <d v="2024-08-14T00:00:00"/>
    <s v="blank"/>
    <s v="Dake Lakshman Rao"/>
    <n v="45000"/>
    <x v="2"/>
    <s v="blank"/>
    <x v="1"/>
  </r>
  <r>
    <s v="ACT031"/>
    <d v="2024-08-22T00:00:00"/>
    <s v="blank"/>
    <s v="Kannaji Annapurna"/>
    <n v="100000"/>
    <x v="0"/>
    <s v="blank"/>
    <x v="1"/>
  </r>
  <r>
    <s v="ACT032"/>
    <d v="2024-09-19T00:00:00"/>
    <s v="blank"/>
    <s v="Sira Ramalakshmi"/>
    <n v="31000"/>
    <x v="2"/>
    <s v="blank"/>
    <x v="1"/>
  </r>
  <r>
    <s v="ACT033"/>
    <d v="2024-09-28T00:00:00"/>
    <s v="blank"/>
    <s v="Ch.Balaji"/>
    <n v="163275"/>
    <x v="1"/>
    <s v="blank"/>
    <x v="1"/>
  </r>
  <r>
    <s v="ACT034"/>
    <d v="2024-10-10T00:00:00"/>
    <s v="blank"/>
    <s v="Annabathula Lakshmi Narayana"/>
    <n v="20000"/>
    <x v="2"/>
    <s v="blank"/>
    <x v="1"/>
  </r>
  <r>
    <s v="ACT035"/>
    <d v="2024-10-24T00:00:00"/>
    <s v="blank"/>
    <s v="Margani Nagendra"/>
    <n v="40000"/>
    <x v="2"/>
    <s v="blank"/>
    <x v="1"/>
  </r>
  <r>
    <s v="ACT036"/>
    <d v="2024-11-16T00:00:00"/>
    <s v="blank"/>
    <s v="Vaddi Shiva Vara Prasad"/>
    <n v="120000"/>
    <x v="1"/>
    <s v="blank"/>
    <x v="1"/>
  </r>
  <r>
    <s v="ACT037"/>
    <d v="2024-11-20T00:00:00"/>
    <s v="blank"/>
    <s v="Vanga Srinivas"/>
    <n v="150000"/>
    <x v="1"/>
    <s v="blank"/>
    <x v="1"/>
  </r>
  <r>
    <s v="ACT038"/>
    <d v="2024-11-22T00:00:00"/>
    <s v="blank"/>
    <s v="J.Santhakumar"/>
    <n v="20000"/>
    <x v="2"/>
    <s v="blank"/>
    <x v="1"/>
  </r>
  <r>
    <s v="ACT039"/>
    <d v="2024-11-21T00:00:00"/>
    <s v="blank"/>
    <s v="G.Subramanayam "/>
    <n v="30000"/>
    <x v="2"/>
    <s v="blank"/>
    <x v="1"/>
  </r>
  <r>
    <s v="ACT040"/>
    <d v="2024-12-18T00:00:00"/>
    <s v="blank"/>
    <s v="Bontha Vijayalakshmi"/>
    <n v="25000"/>
    <x v="2"/>
    <s v="blank"/>
    <x v="1"/>
  </r>
  <r>
    <s v="ACT041"/>
    <d v="2024-12-25T00:00:00"/>
    <s v="blank"/>
    <s v="Jale Nagaraju"/>
    <n v="20000"/>
    <x v="2"/>
    <s v="blank"/>
    <x v="1"/>
  </r>
  <r>
    <s v="ACT042"/>
    <d v="2025-01-09T00:00:00"/>
    <s v="blank"/>
    <s v="Geddada Yeshoshava"/>
    <n v="75000"/>
    <x v="0"/>
    <s v="blank"/>
    <x v="1"/>
  </r>
  <r>
    <s v="ACT043"/>
    <d v="2025-01-10T00:00:00"/>
    <s v="blank"/>
    <s v="B.Krishna Kumari"/>
    <n v="51100"/>
    <x v="0"/>
    <s v="blank"/>
    <x v="1"/>
  </r>
  <r>
    <s v="ACT044"/>
    <d v="2025-01-22T00:00:00"/>
    <s v="blank"/>
    <s v="Katreddy Subramanayam"/>
    <n v="20000"/>
    <x v="2"/>
    <s v="blank"/>
    <x v="1"/>
  </r>
  <r>
    <s v="ACT045"/>
    <d v="2025-01-23T00:00:00"/>
    <s v="blank"/>
    <s v="Bontha Vijayalakshmi"/>
    <n v="100000"/>
    <x v="0"/>
    <s v="blank"/>
    <x v="1"/>
  </r>
  <r>
    <s v="ACT046"/>
    <d v="2025-01-23T00:00:00"/>
    <s v="blank"/>
    <s v="Pilli Srinivas"/>
    <n v="45000"/>
    <x v="2"/>
    <s v="blank"/>
    <x v="1"/>
  </r>
  <r>
    <s v="ACT047"/>
    <d v="2025-02-16T00:00:00"/>
    <s v="blank"/>
    <s v="Pollireddy Shiva Sankar"/>
    <n v="60000"/>
    <x v="0"/>
    <s v="blank"/>
    <x v="1"/>
  </r>
  <r>
    <s v="ACT048"/>
    <d v="2025-02-17T00:00:00"/>
    <s v="blank"/>
    <s v="Kambala Ganga Raju"/>
    <n v="90000"/>
    <x v="0"/>
    <s v="blank"/>
    <x v="1"/>
  </r>
  <r>
    <s v="ACT049"/>
    <d v="2025-02-18T00:00:00"/>
    <s v="blank"/>
    <s v="V.Venkatesh"/>
    <n v="140000"/>
    <x v="1"/>
    <s v="blank"/>
    <x v="1"/>
  </r>
  <r>
    <s v="ACT050"/>
    <d v="2025-02-19T00:00:00"/>
    <s v="blank"/>
    <s v="Vanga Srinivas"/>
    <n v="70000"/>
    <x v="0"/>
    <s v="blank"/>
    <x v="1"/>
  </r>
  <r>
    <s v="ACT051"/>
    <d v="2025-02-24T00:00:00"/>
    <s v="blank"/>
    <s v="Vetla Durgamma"/>
    <n v="30000"/>
    <x v="2"/>
    <s v="blank"/>
    <x v="1"/>
  </r>
  <r>
    <s v="ACT052"/>
    <d v="2025-02-28T00:00:00"/>
    <s v="blank"/>
    <s v="Billi Nani Babu"/>
    <n v="40000"/>
    <x v="2"/>
    <s v="blank"/>
    <x v="1"/>
  </r>
  <r>
    <s v="ACT053"/>
    <d v="2025-03-20T00:00:00"/>
    <s v="blank"/>
    <s v="Challapalli Ashwini"/>
    <n v="50000"/>
    <x v="2"/>
    <s v="blank"/>
    <x v="1"/>
  </r>
  <r>
    <s v="ACT054"/>
    <d v="2025-03-21T00:00:00"/>
    <s v="blank"/>
    <s v="Madila Raju"/>
    <n v="104000"/>
    <x v="1"/>
    <s v="blank"/>
    <x v="1"/>
  </r>
  <r>
    <s v="ACT055"/>
    <d v="2025-03-22T00:00:00"/>
    <s v="blank"/>
    <s v="Attili Manohar"/>
    <n v="20000"/>
    <x v="2"/>
    <s v="blank"/>
    <x v="1"/>
  </r>
  <r>
    <s v="ACT056"/>
    <d v="2025-04-12T00:00:00"/>
    <s v="blank"/>
    <s v="Giddeda Yahovan"/>
    <n v="122000"/>
    <x v="1"/>
    <s v="blank"/>
    <x v="1"/>
  </r>
  <r>
    <s v="ACT057"/>
    <d v="2025-03-06T00:00:00"/>
    <s v="blank"/>
    <s v="M.Gopi"/>
    <n v="80000"/>
    <x v="0"/>
    <s v="blank"/>
    <x v="1"/>
  </r>
  <r>
    <s v="ACT058"/>
    <d v="2025-05-12T00:00:00"/>
    <s v="blank"/>
    <s v="Juttiga Annavaram"/>
    <n v="50000"/>
    <x v="2"/>
    <s v="blank"/>
    <x v="1"/>
  </r>
  <r>
    <s v="ACT059"/>
    <d v="2025-05-20T00:00:00"/>
    <s v="blank"/>
    <s v="Korada Lakshmi"/>
    <n v="225000"/>
    <x v="1"/>
    <s v="blank"/>
    <x v="1"/>
  </r>
  <r>
    <s v="ACT060"/>
    <d v="2025-05-21T00:00:00"/>
    <s v="blank"/>
    <s v="Koya Hari Venkat Mani Kumar"/>
    <n v="20000"/>
    <x v="2"/>
    <s v="blank"/>
    <x v="1"/>
  </r>
  <r>
    <s v="ACT061"/>
    <d v="2025-05-29T00:00:00"/>
    <s v="blank"/>
    <s v="Koyi Achamma"/>
    <n v="35000"/>
    <x v="2"/>
    <s v="blank"/>
    <x v="1"/>
  </r>
  <r>
    <s v="ACT062"/>
    <d v="2025-05-30T00:00:00"/>
    <s v="blank"/>
    <s v="S.K Mehaboob Jani"/>
    <n v="30000"/>
    <x v="2"/>
    <s v="blank"/>
    <x v="1"/>
  </r>
  <r>
    <s v="ACT063"/>
    <d v="2025-06-07T00:00:00"/>
    <s v="blank"/>
    <s v="Borra Sadhumani"/>
    <n v="60000"/>
    <x v="0"/>
    <s v="blank"/>
    <x v="1"/>
  </r>
  <r>
    <s v="ACT064"/>
    <d v="2025-06-09T00:00:00"/>
    <s v="blank"/>
    <s v="Sk Shammi"/>
    <n v="60000"/>
    <x v="0"/>
    <s v="blank"/>
    <x v="1"/>
  </r>
  <r>
    <s v="ACT065"/>
    <d v="2025-06-17T00:00:00"/>
    <s v="blank"/>
    <s v="Ch Sudheer Kumar"/>
    <n v="30000"/>
    <x v="2"/>
    <s v="blank"/>
    <x v="1"/>
  </r>
  <r>
    <s v="ACT066"/>
    <d v="2025-06-15T00:00:00"/>
    <s v="blank"/>
    <s v="Padala Sai Murali"/>
    <n v="60000"/>
    <x v="0"/>
    <s v="blank"/>
    <x v="1"/>
  </r>
  <r>
    <s v="ACT067"/>
    <d v="2025-06-20T00:00:00"/>
    <s v="blank"/>
    <s v="Rowthu Vasanth Kumar"/>
    <n v="30000"/>
    <x v="2"/>
    <s v="blank"/>
    <x v="1"/>
  </r>
  <r>
    <s v="ACT068"/>
    <d v="2025-06-20T00:00:00"/>
    <s v="blank"/>
    <s v="Kodi Suresh"/>
    <n v="40000"/>
    <x v="2"/>
    <s v="blank"/>
    <x v="1"/>
  </r>
  <r>
    <s v="ACT069"/>
    <d v="2025-06-20T00:00:00"/>
    <s v="blank"/>
    <s v="Varasala Abraham Lincoln"/>
    <n v="105000"/>
    <x v="1"/>
    <s v="blank"/>
    <x v="1"/>
  </r>
  <r>
    <s v="ACT070"/>
    <d v="2025-06-24T00:00:00"/>
    <s v="blank"/>
    <s v="Md.Arif"/>
    <n v="100000"/>
    <x v="0"/>
    <s v="blank"/>
    <x v="1"/>
  </r>
  <r>
    <s v="ACT071"/>
    <d v="2025-07-10T00:00:00"/>
    <s v="blank"/>
    <s v="Kallem Prakesh Kumar"/>
    <n v="70000"/>
    <x v="0"/>
    <s v="blank"/>
    <x v="1"/>
  </r>
  <r>
    <s v="ACT072"/>
    <d v="2025-07-19T00:00:00"/>
    <s v="blank"/>
    <s v="Samkurathri Satyanarayana"/>
    <n v="200000"/>
    <x v="1"/>
    <s v="blank"/>
    <x v="1"/>
  </r>
  <r>
    <s v="ACT073"/>
    <d v="2025-08-07T00:00:00"/>
    <s v="blank"/>
    <s v="Dasari Bujji Babu"/>
    <n v="115000"/>
    <x v="1"/>
    <s v="blank"/>
    <x v="1"/>
  </r>
  <r>
    <s v="ACT074"/>
    <d v="2025-08-11T00:00:00"/>
    <s v="blank"/>
    <s v="Vendra Phanedra Kumar"/>
    <n v="100000"/>
    <x v="0"/>
    <s v="blank"/>
    <x v="1"/>
  </r>
  <r>
    <s v="ACT075"/>
    <d v="2025-08-11T00:00:00"/>
    <s v="blank"/>
    <s v="Chittidi Dhrani Kumar"/>
    <n v="150000"/>
    <x v="1"/>
    <s v="blank"/>
    <x v="1"/>
  </r>
  <r>
    <s v="ACT076"/>
    <d v="2025-08-18T00:00:00"/>
    <s v="blank"/>
    <s v="Roja Nagalakshmi"/>
    <n v="100000"/>
    <x v="0"/>
    <s v="blank"/>
    <x v="1"/>
  </r>
  <r>
    <s v="ACT077"/>
    <d v="2025-08-21T00:00:00"/>
    <s v="blank"/>
    <s v="B.Asha Rani"/>
    <n v="25000"/>
    <x v="2"/>
    <s v="blank"/>
    <x v="1"/>
  </r>
  <r>
    <s v="ACT078"/>
    <d v="2025-08-21T00:00:00"/>
    <s v="blank"/>
    <s v="Ambati Annavaram"/>
    <n v="20000"/>
    <x v="2"/>
    <s v="blank"/>
    <x v="1"/>
  </r>
  <r>
    <s v="ACT079"/>
    <d v="2025-08-21T00:00:00"/>
    <s v="blank"/>
    <s v="B.Asha Rani"/>
    <n v="25000"/>
    <x v="2"/>
    <s v="blank"/>
    <x v="1"/>
  </r>
  <r>
    <s v="ACT080"/>
    <d v="2025-08-23T00:00:00"/>
    <s v="blank"/>
    <s v="Sk Shahidha"/>
    <n v="30000"/>
    <x v="2"/>
    <s v="blank"/>
    <x v="1"/>
  </r>
  <r>
    <s v="ACT081"/>
    <d v="2025-08-25T00:00:00"/>
    <s v="blank"/>
    <s v="Koya Ramesh"/>
    <n v="130000"/>
    <x v="1"/>
    <s v="blank"/>
    <x v="1"/>
  </r>
  <r>
    <s v="ACT082"/>
    <d v="2025-08-30T00:00:00"/>
    <s v="blank"/>
    <s v="P.Venkateshwar Rao"/>
    <n v="50000"/>
    <x v="2"/>
    <s v="blank"/>
    <x v="1"/>
  </r>
  <r>
    <s v="ACT083"/>
    <d v="2025-08-20T00:00:00"/>
    <s v="blank"/>
    <s v="Gade Vijaya Lakshmi"/>
    <n v="20000"/>
    <x v="2"/>
    <s v="blank"/>
    <x v="1"/>
  </r>
  <r>
    <s v="ACT084"/>
    <d v="2025-09-02T00:00:00"/>
    <s v="blank"/>
    <s v="K.Rama Satish"/>
    <n v="20000"/>
    <x v="2"/>
    <s v="blank"/>
    <x v="1"/>
  </r>
  <r>
    <s v="ACT085"/>
    <d v="2025-09-02T00:00:00"/>
    <s v="blank"/>
    <s v="Dake Veerapapa"/>
    <n v="50000"/>
    <x v="2"/>
    <s v="blank"/>
    <x v="1"/>
  </r>
  <r>
    <s v="ACT086"/>
    <d v="2025-09-11T00:00:00"/>
    <s v="blank"/>
    <s v="Sani Padmavathi"/>
    <n v="84000"/>
    <x v="0"/>
    <s v="blank"/>
    <x v="1"/>
  </r>
  <r>
    <s v="ACT087"/>
    <d v="2025-09-12T00:00:00"/>
    <s v="blank"/>
    <s v="M.Daniel"/>
    <n v="35000"/>
    <x v="2"/>
    <s v="blank"/>
    <x v="1"/>
  </r>
  <r>
    <s v="ACT088"/>
    <d v="2025-09-12T00:00:00"/>
    <s v="blank"/>
    <s v="Jalli Satyavathi"/>
    <n v="60000"/>
    <x v="0"/>
    <s v="blank"/>
    <x v="1"/>
  </r>
  <r>
    <s v="ACT089"/>
    <d v="2025-09-15T00:00:00"/>
    <s v="blank"/>
    <s v="Gulli Posikala"/>
    <n v="30000"/>
    <x v="2"/>
    <s v="blank"/>
    <x v="1"/>
  </r>
  <r>
    <s v="ACT090"/>
    <d v="2025-09-20T00:00:00"/>
    <s v="blank"/>
    <s v="Kandavalli Ramu"/>
    <n v="30000"/>
    <x v="2"/>
    <s v="blank"/>
    <x v="1"/>
  </r>
  <r>
    <s v="ACT091"/>
    <d v="2025-09-15T00:00:00"/>
    <s v="blank"/>
    <s v="Chapala Baby"/>
    <n v="156000"/>
    <x v="1"/>
    <s v="blank"/>
    <x v="1"/>
  </r>
  <r>
    <s v="ACT092"/>
    <d v="2025-09-20T00:00:00"/>
    <s v="blank"/>
    <s v="Palakurthi Raju"/>
    <n v="120000"/>
    <x v="1"/>
    <s v="blank"/>
    <x v="1"/>
  </r>
  <r>
    <s v="ACT093"/>
    <d v="2025-09-20T00:00:00"/>
    <s v="blank"/>
    <s v="P.Ganapathi"/>
    <n v="250000"/>
    <x v="1"/>
    <s v="blank"/>
    <x v="1"/>
  </r>
  <r>
    <s v="ACT094"/>
    <d v="2025-09-25T00:00:00"/>
    <s v="blank"/>
    <s v="J.Nagaraju"/>
    <n v="23400"/>
    <x v="2"/>
    <s v="blank"/>
    <x v="1"/>
  </r>
  <r>
    <s v="ACT095"/>
    <d v="2025-10-01T00:00:00"/>
    <s v="blank"/>
    <s v="V.Sattibabu"/>
    <n v="130000"/>
    <x v="1"/>
    <s v="blank"/>
    <x v="1"/>
  </r>
  <r>
    <s v="ACT096"/>
    <d v="2025-10-06T00:00:00"/>
    <s v="blank"/>
    <s v="Karinki Naveen"/>
    <n v="25000"/>
    <x v="2"/>
    <s v="blank"/>
    <x v="1"/>
  </r>
  <r>
    <s v="ACT097"/>
    <d v="2025-10-06T00:00:00"/>
    <s v="blank"/>
    <s v="M.Rambabu"/>
    <n v="30000"/>
    <x v="2"/>
    <s v="blank"/>
    <x v="1"/>
  </r>
  <r>
    <s v="ACT098"/>
    <d v="2025-10-06T00:00:00"/>
    <s v="blank"/>
    <s v="Sk.Irfan"/>
    <n v="109000"/>
    <x v="1"/>
    <s v="blank"/>
    <x v="1"/>
  </r>
  <r>
    <s v="ACT099"/>
    <d v="2025-10-07T00:00:00"/>
    <s v="blank"/>
    <s v="K.Asha Rani"/>
    <n v="70000"/>
    <x v="0"/>
    <s v="blank"/>
    <x v="1"/>
  </r>
  <r>
    <s v="ACT100"/>
    <d v="2025-10-07T00:00:00"/>
    <s v="blank"/>
    <s v="Edara Veera Raghavalu"/>
    <n v="80000"/>
    <x v="0"/>
    <s v="blank"/>
    <x v="1"/>
  </r>
  <r>
    <s v="ACT101"/>
    <d v="2025-10-21T00:00:00"/>
    <s v="blank"/>
    <s v="Mutham Rambabu"/>
    <n v="230000"/>
    <x v="1"/>
    <s v="blank"/>
    <x v="1"/>
  </r>
  <r>
    <s v="ACT102"/>
    <d v="2025-10-22T00:00:00"/>
    <s v="blank"/>
    <s v="M.Pramod Kumar"/>
    <n v="120000"/>
    <x v="1"/>
    <s v="blank"/>
    <x v="1"/>
  </r>
  <r>
    <s v="ACT103"/>
    <d v="2025-10-27T00:00:00"/>
    <s v="blank"/>
    <s v="Vasireddy Satti Babu(Box)"/>
    <n v="360000"/>
    <x v="1"/>
    <s v="blank"/>
    <x v="1"/>
  </r>
  <r>
    <s v="ACT104"/>
    <d v="2025-10-27T00:00:00"/>
    <s v="blank"/>
    <s v="Illi Puspha Kumari"/>
    <n v="35000"/>
    <x v="2"/>
    <s v="blank"/>
    <x v="1"/>
  </r>
  <r>
    <s v="ACT105"/>
    <d v="2025-10-27T00:00:00"/>
    <s v="blank"/>
    <s v="Sk.Nazarin"/>
    <n v="45000"/>
    <x v="2"/>
    <s v="blank"/>
    <x v="1"/>
  </r>
  <r>
    <s v="ACT106"/>
    <d v="2025-10-29T00:00:00"/>
    <s v="blank"/>
    <s v="Gade Vijaya Lakshmi"/>
    <n v="50000"/>
    <x v="2"/>
    <s v="blank"/>
    <x v="1"/>
  </r>
  <r>
    <s v="ACT107"/>
    <d v="2025-10-29T00:00:00"/>
    <s v="blank"/>
    <s v="Undavalli Srinivas"/>
    <n v="25000"/>
    <x v="2"/>
    <s v="blank"/>
    <x v="1"/>
  </r>
  <r>
    <s v="ACT108"/>
    <d v="2025-10-30T00:00:00"/>
    <s v="blank"/>
    <s v="T.Harish"/>
    <n v="90000"/>
    <x v="0"/>
    <s v="blank"/>
    <x v="1"/>
  </r>
  <r>
    <s v="ACT109"/>
    <d v="2025-11-01T00:00:00"/>
    <s v="blank"/>
    <s v="Turugopu Sunil Ratnam"/>
    <n v="170700"/>
    <x v="1"/>
    <s v="blank"/>
    <x v="1"/>
  </r>
  <r>
    <s v="ACT110"/>
    <d v="2025-11-01T00:00:00"/>
    <s v="blank"/>
    <s v="Mvs Gangadhar"/>
    <n v="1000000"/>
    <x v="1"/>
    <s v="blank"/>
    <x v="1"/>
  </r>
  <r>
    <s v="ACT111"/>
    <d v="2025-11-04T00:00:00"/>
    <s v="blank"/>
    <s v="Maddala Peddi Raju"/>
    <n v="140000"/>
    <x v="1"/>
    <s v="blank"/>
    <x v="1"/>
  </r>
  <r>
    <s v="ACT112"/>
    <d v="2025-11-05T00:00:00"/>
    <s v="blank"/>
    <s v="Ch.V.V.Satyanarayana"/>
    <n v="70000"/>
    <x v="0"/>
    <s v="blank"/>
    <x v="1"/>
  </r>
  <r>
    <s v="ACT113"/>
    <d v="2025-11-05T00:00:00"/>
    <s v="blank"/>
    <s v="G.R Prasad"/>
    <n v="31000"/>
    <x v="2"/>
    <s v="blank"/>
    <x v="1"/>
  </r>
  <r>
    <s v="ACT114"/>
    <d v="2025-11-10T00:00:00"/>
    <s v="blank"/>
    <s v="K.B.N.Prabhakar Rao"/>
    <n v="380000"/>
    <x v="1"/>
    <s v="blank"/>
    <x v="1"/>
  </r>
  <r>
    <s v="ACT115"/>
    <d v="2025-12-01T00:00:00"/>
    <s v="blank"/>
    <s v="Gadam Uma Maheswari"/>
    <n v="30000"/>
    <x v="2"/>
    <s v="blank"/>
    <x v="1"/>
  </r>
  <r>
    <s v="ACT116"/>
    <d v="2025-12-01T00:00:00"/>
    <s v="blank"/>
    <s v="K.Sai Manikanta"/>
    <n v="30000"/>
    <x v="2"/>
    <s v="blank"/>
    <x v="1"/>
  </r>
  <r>
    <s v="ACT117"/>
    <d v="2025-12-01T00:00:00"/>
    <s v="blank"/>
    <s v="R.Chandra Sekhar"/>
    <n v="34000"/>
    <x v="2"/>
    <s v="blank"/>
    <x v="1"/>
  </r>
  <r>
    <s v="ACT118"/>
    <d v="2025-12-03T00:00:00"/>
    <s v="blank"/>
    <s v="Kalaganti Simhachalam"/>
    <n v="120000"/>
    <x v="1"/>
    <s v="blank"/>
    <x v="1"/>
  </r>
  <r>
    <s v="ACT119"/>
    <d v="2025-12-05T00:00:00"/>
    <s v="blank"/>
    <s v="Md.Fahima Begum"/>
    <n v="31000"/>
    <x v="2"/>
    <s v="blank"/>
    <x v="1"/>
  </r>
  <r>
    <s v="ACT120"/>
    <d v="2025-12-06T00:00:00"/>
    <s v="blank"/>
    <s v="Kaki Ramu"/>
    <n v="50000"/>
    <x v="2"/>
    <s v="blank"/>
    <x v="1"/>
  </r>
  <r>
    <s v="ACT121"/>
    <d v="2025-12-08T00:00:00"/>
    <s v="blank"/>
    <s v="Lohi Venkata Satyanarayana"/>
    <n v="48000"/>
    <x v="2"/>
    <s v="blank"/>
    <x v="1"/>
  </r>
  <r>
    <s v="ACT122"/>
    <d v="2025-12-08T00:00:00"/>
    <s v="blank"/>
    <s v="Turugopu Sunil Ratnam"/>
    <n v="40000"/>
    <x v="2"/>
    <s v="blank"/>
    <x v="1"/>
  </r>
  <r>
    <s v="ACT123"/>
    <d v="2025-12-15T00:00:00"/>
    <s v="blank"/>
    <s v="Godrothu Nagaraju"/>
    <n v="70000"/>
    <x v="0"/>
    <s v="blank"/>
    <x v="1"/>
  </r>
  <r>
    <s v="ACT124"/>
    <d v="2025-12-16T00:00:00"/>
    <s v="blank"/>
    <s v="Md.Mohardin"/>
    <n v="170000"/>
    <x v="1"/>
    <s v="blank"/>
    <x v="1"/>
  </r>
  <r>
    <s v="ACT125"/>
    <d v="2025-11-24T00:00:00"/>
    <s v="blank"/>
    <s v="Mvs Gangadhar"/>
    <n v="350000"/>
    <x v="1"/>
    <s v="blank"/>
    <x v="1"/>
  </r>
  <r>
    <s v="ACT126"/>
    <d v="2025-12-20T00:00:00"/>
    <s v="blank"/>
    <s v="Bayya Rajasekhar"/>
    <n v="32000"/>
    <x v="2"/>
    <s v="blank"/>
    <x v="1"/>
  </r>
  <r>
    <s v="ACT127"/>
    <d v="2025-12-22T00:00:00"/>
    <s v="blank"/>
    <s v="A.Anil Kumar"/>
    <n v="120000"/>
    <x v="1"/>
    <s v="blank"/>
    <x v="1"/>
  </r>
  <r>
    <s v="ACT128"/>
    <d v="2025-12-23T00:00:00"/>
    <s v="blank"/>
    <s v="Shaik.Khader Valli"/>
    <n v="45000"/>
    <x v="2"/>
    <s v="blank"/>
    <x v="1"/>
  </r>
  <r>
    <s v="ACT129"/>
    <d v="2025-12-23T00:00:00"/>
    <s v="blank"/>
    <s v="Karri Sai Babu"/>
    <n v="40000"/>
    <x v="2"/>
    <s v="blank"/>
    <x v="1"/>
  </r>
  <r>
    <s v="ACT130"/>
    <d v="2025-12-25T00:00:00"/>
    <s v="blank"/>
    <s v="P.Surya Chandra Rao"/>
    <n v="170000"/>
    <x v="1"/>
    <s v="blank"/>
    <x v="1"/>
  </r>
  <r>
    <s v="ACT131"/>
    <d v="2025-12-27T00:00:00"/>
    <s v="blank"/>
    <s v="Nallala Lakshmi"/>
    <n v="40000"/>
    <x v="2"/>
    <s v="blank"/>
    <x v="1"/>
  </r>
  <r>
    <s v="ACT132"/>
    <d v="2025-12-27T00:00:00"/>
    <s v="blank"/>
    <s v="P.Durga Bhavani"/>
    <n v="190000"/>
    <x v="1"/>
    <s v="blank"/>
    <x v="1"/>
  </r>
  <r>
    <s v="ACT133"/>
    <d v="2026-01-06T00:00:00"/>
    <s v="blank"/>
    <s v="B.Asha Jyothi"/>
    <n v="80000"/>
    <x v="0"/>
    <s v="blank"/>
    <x v="1"/>
  </r>
  <r>
    <s v="ACT134"/>
    <d v="2026-01-07T00:00:00"/>
    <s v="blank"/>
    <s v="Dayam Rajya Lakshmi"/>
    <n v="30000"/>
    <x v="2"/>
    <s v="blank"/>
    <x v="1"/>
  </r>
  <r>
    <s v="ACT135"/>
    <d v="2026-01-07T00:00:00"/>
    <s v="blank"/>
    <s v="Muppidi Surya Naga"/>
    <n v="65000"/>
    <x v="0"/>
    <s v="blank"/>
    <x v="1"/>
  </r>
  <r>
    <s v="ACT136"/>
    <d v="2026-01-08T00:00:00"/>
    <s v="blank"/>
    <s v="Korasika Dhana Lakshmi"/>
    <n v="100000"/>
    <x v="0"/>
    <s v="blank"/>
    <x v="1"/>
  </r>
  <r>
    <s v="ACT137"/>
    <d v="2026-01-08T00:00:00"/>
    <s v="blank"/>
    <s v="Cherukuru Venkata Ramanamma"/>
    <n v="100000"/>
    <x v="0"/>
    <s v="blank"/>
    <x v="1"/>
  </r>
  <r>
    <s v="ACT138"/>
    <d v="2026-01-08T00:00:00"/>
    <s v="blank"/>
    <s v="P.Sathi Babu"/>
    <n v="40000"/>
    <x v="2"/>
    <s v="blank"/>
    <x v="1"/>
  </r>
  <r>
    <s v="ACT139"/>
    <d v="2026-01-08T00:00:00"/>
    <s v="blank"/>
    <s v="Thirupathe Brahamayya"/>
    <n v="20000"/>
    <x v="2"/>
    <s v="blank"/>
    <x v="1"/>
  </r>
  <r>
    <s v="ACT140"/>
    <d v="2026-01-08T00:00:00"/>
    <s v="blank"/>
    <s v="Korasika Dhana Lakshmi"/>
    <n v="50000"/>
    <x v="2"/>
    <s v="blank"/>
    <x v="1"/>
  </r>
  <r>
    <s v="ACT141"/>
    <d v="2026-01-08T00:00:00"/>
    <s v="blank"/>
    <s v="Tiwari Fathima"/>
    <n v="45000"/>
    <x v="2"/>
    <s v="blank"/>
    <x v="1"/>
  </r>
  <r>
    <s v="ACT142"/>
    <d v="2026-01-08T00:00:00"/>
    <s v="blank"/>
    <s v="Metike Priya Bhavana"/>
    <n v="50000"/>
    <x v="2"/>
    <s v="blank"/>
    <x v="1"/>
  </r>
  <r>
    <s v="ACT143"/>
    <d v="2026-01-21T00:00:00"/>
    <s v="blank"/>
    <s v="Bangaru Leela"/>
    <n v="119000"/>
    <x v="1"/>
    <s v="blank"/>
    <x v="1"/>
  </r>
  <r>
    <s v="ACT144"/>
    <d v="2026-01-22T00:00:00"/>
    <s v="blank"/>
    <s v="Ramana Durga Prasad"/>
    <n v="45000"/>
    <x v="2"/>
    <s v="blank"/>
    <x v="1"/>
  </r>
  <r>
    <s v="ACT145"/>
    <d v="2026-01-22T00:00:00"/>
    <s v="blank"/>
    <s v="Adari Padma"/>
    <n v="89000"/>
    <x v="0"/>
    <s v="blank"/>
    <x v="1"/>
  </r>
  <r>
    <s v="ACT146"/>
    <d v="2026-01-22T00:00:00"/>
    <s v="blank"/>
    <s v="Masagiri Durga"/>
    <n v="93000"/>
    <x v="0"/>
    <s v="blank"/>
    <x v="1"/>
  </r>
  <r>
    <s v="ACT147"/>
    <d v="2026-01-23T00:00:00"/>
    <s v="blank"/>
    <s v="Padala Sai Murali/Vaka Suresh"/>
    <n v="100000"/>
    <x v="0"/>
    <s v="blank"/>
    <x v="1"/>
  </r>
  <r>
    <s v="ACT148"/>
    <d v="2026-01-23T00:00:00"/>
    <s v="blank"/>
    <s v="Peddapuddi Sundar Rao"/>
    <n v="240000"/>
    <x v="1"/>
    <s v="blank"/>
    <x v="1"/>
  </r>
  <r>
    <s v="ACT149"/>
    <d v="2026-01-23T00:00:00"/>
    <s v="blank"/>
    <s v="Padala Sai Murali/Vaka Suresh"/>
    <n v="297000"/>
    <x v="1"/>
    <s v="blank"/>
    <x v="1"/>
  </r>
  <r>
    <s v="ACT150"/>
    <d v="2026-01-23T00:00:00"/>
    <s v="blank"/>
    <s v="A.Ajay Kiran"/>
    <n v="50000"/>
    <x v="2"/>
    <s v="blank"/>
    <x v="1"/>
  </r>
  <r>
    <s v="ACT151"/>
    <d v="2026-01-24T00:00:00"/>
    <s v="blank"/>
    <s v="Janaki Srinu"/>
    <n v="30000"/>
    <x v="2"/>
    <s v="blank"/>
    <x v="1"/>
  </r>
  <r>
    <s v="ACT152"/>
    <d v="2026-01-24T00:00:00"/>
    <s v="blank"/>
    <s v="P.Durga Bhavani"/>
    <n v="72000"/>
    <x v="0"/>
    <s v="blank"/>
    <x v="1"/>
  </r>
  <r>
    <s v="ACT153"/>
    <d v="2026-01-24T00:00:00"/>
    <s v="blank"/>
    <s v="Rowthu Vasanth Kumar"/>
    <n v="40000"/>
    <x v="2"/>
    <s v="blank"/>
    <x v="1"/>
  </r>
  <r>
    <s v="ACT154"/>
    <d v="2026-01-24T00:00:00"/>
    <s v="blank"/>
    <s v="Neelam Narsa Babu"/>
    <n v="30000"/>
    <x v="2"/>
    <s v="blank"/>
    <x v="1"/>
  </r>
  <r>
    <s v="ACT155"/>
    <d v="2026-01-24T00:00:00"/>
    <s v="blank"/>
    <s v="G.Saraswathi"/>
    <n v="50000"/>
    <x v="2"/>
    <s v="blank"/>
    <x v="1"/>
  </r>
  <r>
    <s v="ACT156"/>
    <d v="2026-01-24T00:00:00"/>
    <s v="blank"/>
    <s v="Kasani Durgaravu"/>
    <n v="200000"/>
    <x v="1"/>
    <s v="blank"/>
    <x v="1"/>
  </r>
  <r>
    <s v="ACT157"/>
    <d v="2026-01-26T00:00:00"/>
    <s v="blank"/>
    <s v="K.Nagalakshmi"/>
    <n v="299400"/>
    <x v="1"/>
    <s v="blank"/>
    <x v="1"/>
  </r>
  <r>
    <s v="ACT158"/>
    <d v="2026-01-27T00:00:00"/>
    <s v="blank"/>
    <s v="Akula Durgaravu"/>
    <n v="112000"/>
    <x v="1"/>
    <s v="blank"/>
    <x v="1"/>
  </r>
  <r>
    <s v="ACT159"/>
    <d v="2026-01-28T00:00:00"/>
    <s v="blank"/>
    <s v="K.Pavan Kumar"/>
    <n v="20000"/>
    <x v="2"/>
    <s v="blank"/>
    <x v="1"/>
  </r>
  <r>
    <s v="ACT160"/>
    <d v="2026-01-28T00:00:00"/>
    <s v="blank"/>
    <s v="R.K.Satyanarayana"/>
    <n v="26000"/>
    <x v="2"/>
    <s v="blank"/>
    <x v="1"/>
  </r>
  <r>
    <s v="ACT161"/>
    <d v="2026-01-29T00:00:00"/>
    <s v="blank"/>
    <s v="Modukuri Swaroop"/>
    <n v="180000"/>
    <x v="1"/>
    <s v="blank"/>
    <x v="1"/>
  </r>
  <r>
    <s v="ACT162"/>
    <d v="2026-01-31T00:00:00"/>
    <s v="blank"/>
    <s v="Sk.Mehaboob Jani"/>
    <n v="83100"/>
    <x v="0"/>
    <s v="blank"/>
    <x v="1"/>
  </r>
  <r>
    <s v="ACT163"/>
    <d v="2026-02-02T00:00:00"/>
    <s v="blank"/>
    <s v="Shaik.Ghousiya Begum"/>
    <n v="154000"/>
    <x v="1"/>
    <s v="blank"/>
    <x v="1"/>
  </r>
  <r>
    <s v="ACT164"/>
    <d v="2026-02-09T00:00:00"/>
    <s v="blank"/>
    <s v="K.Mohan Kalyan"/>
    <n v="210000"/>
    <x v="1"/>
    <s v="blank"/>
    <x v="1"/>
  </r>
  <r>
    <s v="ACT165"/>
    <d v="2026-02-11T00:00:00"/>
    <s v="blank"/>
    <s v="Guntipalli Muthayalaravu"/>
    <n v="190000"/>
    <x v="1"/>
    <s v="blank"/>
    <x v="1"/>
  </r>
  <r>
    <s v="ACT166"/>
    <d v="2026-02-11T00:00:00"/>
    <s v="blank"/>
    <s v="Nandigam Sri Rama Murthy"/>
    <n v="318000"/>
    <x v="1"/>
    <s v="blank"/>
    <x v="1"/>
  </r>
  <r>
    <s v="ACT167"/>
    <d v="2026-02-11T00:00:00"/>
    <s v="blank"/>
    <s v="T.Chandrakala"/>
    <n v="60000"/>
    <x v="0"/>
    <s v="blank"/>
    <x v="1"/>
  </r>
  <r>
    <s v="ACT168"/>
    <d v="2026-02-14T00:00:00"/>
    <s v="blank"/>
    <s v="Neerukonda Bharathi"/>
    <n v="420000"/>
    <x v="1"/>
    <s v="blank"/>
    <x v="1"/>
  </r>
  <r>
    <s v="ACT169"/>
    <d v="2026-02-16T00:00:00"/>
    <s v="blank"/>
    <s v="E.Ravi"/>
    <n v="125000"/>
    <x v="1"/>
    <s v="blank"/>
    <x v="1"/>
  </r>
  <r>
    <s v="ACT170"/>
    <d v="2026-02-18T00:00:00"/>
    <s v="blank"/>
    <s v="Lohi Venkata Satyanarayana"/>
    <n v="160000"/>
    <x v="1"/>
    <s v="blank"/>
    <x v="1"/>
  </r>
  <r>
    <s v="ACT171"/>
    <d v="2026-02-18T00:00:00"/>
    <s v="blank"/>
    <s v="Mumgada Durga Devi"/>
    <n v="40000"/>
    <x v="2"/>
    <s v="blank"/>
    <x v="1"/>
  </r>
  <r>
    <s v="ACT172"/>
    <d v="2026-02-18T00:00:00"/>
    <s v="blank"/>
    <s v="Pilli Srinivas"/>
    <n v="75000"/>
    <x v="0"/>
    <s v="blank"/>
    <x v="1"/>
  </r>
  <r>
    <s v="ACT173"/>
    <d v="2026-02-23T00:00:00"/>
    <s v="blank"/>
    <s v="G.N Murthy"/>
    <n v="172375"/>
    <x v="1"/>
    <s v="blank"/>
    <x v="1"/>
  </r>
  <r>
    <s v="ACT174"/>
    <d v="2026-02-26T00:00:00"/>
    <s v="blank"/>
    <s v="Neelam Venkata Lakshmi"/>
    <n v="309000"/>
    <x v="1"/>
    <s v="blank"/>
    <x v="1"/>
  </r>
  <r>
    <s v="ACT175"/>
    <d v="2026-03-05T00:00:00"/>
    <s v="blank"/>
    <s v="Bayya Venkata Krishna"/>
    <n v="120000"/>
    <x v="1"/>
    <s v="blank"/>
    <x v="1"/>
  </r>
  <r>
    <s v="ACT176"/>
    <d v="2026-03-06T00:00:00"/>
    <s v="blank"/>
    <s v="Md.Irfan"/>
    <n v="140000"/>
    <x v="1"/>
    <s v="blank"/>
    <x v="1"/>
  </r>
  <r>
    <s v="ACT177"/>
    <d v="2026-03-06T00:00:00"/>
    <s v="blank"/>
    <s v="P.V.S.Narayana"/>
    <n v="210000"/>
    <x v="1"/>
    <s v="blank"/>
    <x v="1"/>
  </r>
  <r>
    <s v="ACT178"/>
    <d v="2026-03-06T00:00:00"/>
    <s v="blank"/>
    <s v="M.Malini"/>
    <n v="196000"/>
    <x v="1"/>
    <s v="blank"/>
    <x v="1"/>
  </r>
  <r>
    <s v="ACT179"/>
    <d v="2026-03-07T00:00:00"/>
    <s v="blank"/>
    <s v="D.V.Papa"/>
    <n v="28000"/>
    <x v="2"/>
    <s v="blank"/>
    <x v="1"/>
  </r>
  <r>
    <s v="ACT180"/>
    <d v="2026-03-07T00:00:00"/>
    <s v="blank"/>
    <s v="Chelluri Venkatewar Rao"/>
    <n v="72000"/>
    <x v="0"/>
    <s v="blank"/>
    <x v="1"/>
  </r>
  <r>
    <s v="ACT181"/>
    <d v="2026-03-07T00:00:00"/>
    <s v="blank"/>
    <s v="D.V.Papa"/>
    <n v="22000"/>
    <x v="2"/>
    <s v="blank"/>
    <x v="1"/>
  </r>
  <r>
    <s v="ACT182"/>
    <d v="2026-03-07T00:00:00"/>
    <s v="blank"/>
    <s v="V.Nanaji"/>
    <n v="20000"/>
    <x v="2"/>
    <s v="blank"/>
    <x v="1"/>
  </r>
  <r>
    <s v="ACT183"/>
    <d v="2026-03-09T00:00:00"/>
    <s v="blank"/>
    <s v="Bangaru Leela"/>
    <n v="30000"/>
    <x v="2"/>
    <s v="blank"/>
    <x v="1"/>
  </r>
  <r>
    <s v="ACT184"/>
    <d v="2026-03-09T00:00:00"/>
    <s v="blank"/>
    <s v="Gattu Mangavathi"/>
    <n v="25000"/>
    <x v="2"/>
    <s v="blank"/>
    <x v="1"/>
  </r>
  <r>
    <s v="ACT185"/>
    <d v="2026-03-09T00:00:00"/>
    <s v="blank"/>
    <s v="Karinki Naveen"/>
    <n v="60000"/>
    <x v="0"/>
    <s v="blank"/>
    <x v="1"/>
  </r>
  <r>
    <s v="ACT186"/>
    <d v="2026-03-09T00:00:00"/>
    <s v="blank"/>
    <s v="I.Bala Ganesh"/>
    <n v="100000"/>
    <x v="0"/>
    <s v="blank"/>
    <x v="1"/>
  </r>
  <r>
    <s v="ACT187"/>
    <d v="2026-03-09T00:00:00"/>
    <s v="blank"/>
    <s v="Gudigantla Vinay"/>
    <n v="35000"/>
    <x v="2"/>
    <s v="blank"/>
    <x v="1"/>
  </r>
  <r>
    <s v="ACT188"/>
    <d v="2026-03-09T00:00:00"/>
    <s v="blank"/>
    <s v="Sk.Guljar"/>
    <n v="50000"/>
    <x v="2"/>
    <s v="blank"/>
    <x v="1"/>
  </r>
  <r>
    <s v="ACT189"/>
    <d v="2026-03-10T00:00:00"/>
    <s v="blank"/>
    <s v="Rowthu Vasanth Kumar"/>
    <n v="25000"/>
    <x v="2"/>
    <s v="blank"/>
    <x v="1"/>
  </r>
  <r>
    <s v="ACT190"/>
    <d v="2026-03-11T00:00:00"/>
    <s v="blank"/>
    <s v="U.Jnanendra Kumar"/>
    <n v="125000"/>
    <x v="1"/>
    <s v="blank"/>
    <x v="1"/>
  </r>
  <r>
    <s v="ACT191"/>
    <d v="2026-03-11T00:00:00"/>
    <s v="blank"/>
    <s v="A.Prabhu Daniel Raj"/>
    <n v="280000"/>
    <x v="1"/>
    <s v="blank"/>
    <x v="1"/>
  </r>
  <r>
    <s v="ACT192"/>
    <d v="2026-03-11T00:00:00"/>
    <s v="blank"/>
    <s v="U.Jnanendra Kumar"/>
    <n v="70000"/>
    <x v="0"/>
    <s v="blank"/>
    <x v="1"/>
  </r>
  <r>
    <s v="ACT193"/>
    <d v="2026-03-12T00:00:00"/>
    <s v="blank"/>
    <s v="U.Lakshmi Prasanna"/>
    <n v="180600"/>
    <x v="1"/>
    <s v="blank"/>
    <x v="1"/>
  </r>
  <r>
    <s v="ACT194"/>
    <d v="2026-03-12T00:00:00"/>
    <s v="blank"/>
    <s v="Bayya Venkata Krishna"/>
    <n v="237000"/>
    <x v="1"/>
    <s v="blank"/>
    <x v="1"/>
  </r>
  <r>
    <s v="ACT195"/>
    <d v="2026-03-11T00:00:00"/>
    <s v="blank"/>
    <s v="Degula Siva Krishna"/>
    <n v="127000"/>
    <x v="1"/>
    <s v="blank"/>
    <x v="1"/>
  </r>
  <r>
    <s v="ACT196"/>
    <d v="2026-03-18T00:00:00"/>
    <s v="blank"/>
    <s v="A.Ajay(A.Jeevavatnam)"/>
    <n v="50000"/>
    <x v="2"/>
    <s v="blank"/>
    <x v="1"/>
  </r>
  <r>
    <s v="ACT197"/>
    <d v="2026-03-20T00:00:00"/>
    <s v="blank"/>
    <s v="O.Shyam Vinay"/>
    <n v="140000"/>
    <x v="1"/>
    <s v="blank"/>
    <x v="1"/>
  </r>
  <r>
    <s v="ACT198"/>
    <d v="2026-03-20T00:00:00"/>
    <s v="blank"/>
    <s v="A.Tejaswini"/>
    <n v="155000"/>
    <x v="1"/>
    <s v="blank"/>
    <x v="1"/>
  </r>
  <r>
    <s v="ACT199"/>
    <d v="2026-03-21T00:00:00"/>
    <s v="blank"/>
    <s v="Janaki Srinu"/>
    <n v="30000"/>
    <x v="2"/>
    <s v="blank"/>
    <x v="1"/>
  </r>
  <r>
    <s v="ACT200"/>
    <d v="2026-03-21T00:00:00"/>
    <s v="blank"/>
    <s v="Yatham Rambabu"/>
    <n v="200000"/>
    <x v="1"/>
    <s v="blank"/>
    <x v="1"/>
  </r>
  <r>
    <s v="ACT201"/>
    <d v="2026-03-23T00:00:00"/>
    <s v="blank"/>
    <s v="A.Ajay Kiran"/>
    <n v="35000"/>
    <x v="2"/>
    <s v="blank"/>
    <x v="1"/>
  </r>
  <r>
    <s v="ACT202"/>
    <d v="2026-03-23T00:00:00"/>
    <s v="blank"/>
    <s v="V.Venkat Sai"/>
    <n v="159150"/>
    <x v="1"/>
    <s v="blank"/>
    <x v="1"/>
  </r>
  <r>
    <s v="ACT203"/>
    <d v="2026-03-23T00:00:00"/>
    <s v="blank"/>
    <s v="Peddapudi Sundar Rao"/>
    <n v="30000"/>
    <x v="2"/>
    <s v="blank"/>
    <x v="1"/>
  </r>
  <r>
    <s v="ACT204"/>
    <d v="2026-03-25T00:00:00"/>
    <s v="blank"/>
    <s v="S.Veera Babu"/>
    <n v="120000"/>
    <x v="1"/>
    <s v="blank"/>
    <x v="1"/>
  </r>
  <r>
    <s v="ACT205"/>
    <d v="2026-03-26T00:00:00"/>
    <s v="blank"/>
    <s v="Cherukuvada Durga Rao"/>
    <n v="30000"/>
    <x v="2"/>
    <s v="blank"/>
    <x v="1"/>
  </r>
  <r>
    <s v="ACT206"/>
    <d v="2026-03-26T00:00:00"/>
    <s v="blank"/>
    <s v="Marisetti Ganesh"/>
    <n v="122300"/>
    <x v="1"/>
    <s v="blank"/>
    <x v="1"/>
  </r>
  <r>
    <s v="ACT207"/>
    <d v="2026-03-31T00:00:00"/>
    <s v="blank"/>
    <s v="K.Kumari"/>
    <n v="250000"/>
    <x v="1"/>
    <s v="blank"/>
    <x v="1"/>
  </r>
  <r>
    <s v="ACT208"/>
    <d v="2026-03-14T00:00:00"/>
    <s v="blank"/>
    <s v="Annabathula Lakshmi Narayana"/>
    <n v="92800"/>
    <x v="0"/>
    <s v="blank"/>
    <x v="1"/>
  </r>
  <r>
    <s v="ACT209"/>
    <d v="2026-04-01T00:00:00"/>
    <s v="blank"/>
    <s v="V.Phani"/>
    <n v="50000"/>
    <x v="2"/>
    <s v="blank"/>
    <x v="1"/>
  </r>
  <r>
    <s v="ACT210"/>
    <d v="2026-04-01T00:00:00"/>
    <s v="blank"/>
    <s v="Mondreti Nageshwara Rao"/>
    <n v="57000"/>
    <x v="0"/>
    <s v="blank"/>
    <x v="1"/>
  </r>
  <r>
    <s v="ACT211"/>
    <d v="2026-04-02T00:00:00"/>
    <s v="blank"/>
    <s v="Chintala Sri Devi"/>
    <n v="50000"/>
    <x v="2"/>
    <s v="blank"/>
    <x v="1"/>
  </r>
  <r>
    <s v="ACT212"/>
    <d v="2026-04-02T00:00:00"/>
    <s v="blank"/>
    <s v="P.V.S.Narayana"/>
    <n v="110000"/>
    <x v="1"/>
    <s v="blank"/>
    <x v="1"/>
  </r>
  <r>
    <s v="ACT213"/>
    <d v="2026-04-02T00:00:00"/>
    <s v="blank"/>
    <s v="Gokarla Ganesh"/>
    <n v="87000"/>
    <x v="0"/>
    <s v="blank"/>
    <x v="1"/>
  </r>
  <r>
    <s v="ACT214"/>
    <d v="2026-04-03T00:00:00"/>
    <s v="blank"/>
    <s v="Kalaganti Simhachalam"/>
    <n v="20000"/>
    <x v="2"/>
    <s v="blank"/>
    <x v="1"/>
  </r>
  <r>
    <s v="ACT215"/>
    <d v="2026-04-03T00:00:00"/>
    <s v="blank"/>
    <s v="Rowthu Praveen Kumar"/>
    <n v="35000"/>
    <x v="2"/>
    <s v="blank"/>
    <x v="1"/>
  </r>
  <r>
    <s v="ACT216"/>
    <d v="2026-04-04T00:00:00"/>
    <s v="blank"/>
    <s v="K.Vijaya Lakshmi"/>
    <n v="55000"/>
    <x v="0"/>
    <s v="blank"/>
    <x v="1"/>
  </r>
  <r>
    <s v="ACT217"/>
    <d v="2026-03-31T00:00:00"/>
    <s v="blank"/>
    <s v="B.Vimal"/>
    <n v="103800"/>
    <x v="1"/>
    <s v="blank"/>
    <x v="1"/>
  </r>
  <r>
    <s v="ACT218"/>
    <d v="2026-04-16T00:00:00"/>
    <s v="blank"/>
    <s v="Nagireddy Durga Bhavani"/>
    <n v="30000"/>
    <x v="2"/>
    <s v="blank"/>
    <x v="1"/>
  </r>
  <r>
    <s v="ACT219"/>
    <d v="2026-04-17T00:00:00"/>
    <s v="blank"/>
    <s v="H.Ramu"/>
    <n v="50000"/>
    <x v="2"/>
    <s v="blank"/>
    <x v="1"/>
  </r>
  <r>
    <s v="ACT220"/>
    <d v="2026-04-17T00:00:00"/>
    <s v="blank"/>
    <s v="Muppidi Raju"/>
    <n v="30000"/>
    <x v="2"/>
    <s v="blank"/>
    <x v="1"/>
  </r>
  <r>
    <s v="ACT221"/>
    <d v="2026-04-17T00:00:00"/>
    <s v="blank"/>
    <s v="Adari Padma"/>
    <n v="20000"/>
    <x v="2"/>
    <s v="blank"/>
    <x v="1"/>
  </r>
  <r>
    <s v="ACT222"/>
    <d v="2026-04-18T00:00:00"/>
    <s v="blank"/>
    <s v="Vanga Naga Venkata Ramana"/>
    <n v="65000"/>
    <x v="0"/>
    <s v="blank"/>
    <x v="1"/>
  </r>
  <r>
    <s v="ACT223"/>
    <d v="2026-04-20T00:00:00"/>
    <s v="blank"/>
    <s v="Basavani Satyanarayana"/>
    <n v="30000"/>
    <x v="2"/>
    <s v="blank"/>
    <x v="1"/>
  </r>
  <r>
    <s v="ACT224"/>
    <d v="2026-04-20T00:00:00"/>
    <s v="blank"/>
    <s v="A.Satyavani"/>
    <n v="35000"/>
    <x v="2"/>
    <s v="blank"/>
    <x v="1"/>
  </r>
  <r>
    <s v="ACT225"/>
    <d v="2026-04-20T00:00:00"/>
    <s v="blank"/>
    <s v="Karri Venkata Ramanna"/>
    <n v="20000"/>
    <x v="2"/>
    <s v="blank"/>
    <x v="1"/>
  </r>
  <r>
    <s v="ACT226"/>
    <d v="2026-04-20T00:00:00"/>
    <s v="blank"/>
    <s v="Palivela Lakshmi"/>
    <n v="30000"/>
    <x v="2"/>
    <s v="blank"/>
    <x v="1"/>
  </r>
  <r>
    <s v="ACT227"/>
    <d v="2026-04-20T00:00:00"/>
    <s v="blank"/>
    <s v="Sk.Basheer Munisha"/>
    <n v="36000"/>
    <x v="2"/>
    <s v="blank"/>
    <x v="1"/>
  </r>
  <r>
    <s v="ACT228"/>
    <d v="2026-04-20T00:00:00"/>
    <s v="blank"/>
    <s v="Kodi Suresh"/>
    <n v="80000"/>
    <x v="0"/>
    <s v="blank"/>
    <x v="1"/>
  </r>
  <r>
    <s v="ACT229"/>
    <d v="2026-04-20T00:00:00"/>
    <s v="blank"/>
    <s v="Marre Ganga Mahalakshmi"/>
    <n v="100000"/>
    <x v="0"/>
    <s v="blank"/>
    <x v="1"/>
  </r>
  <r>
    <s v="ACT230"/>
    <d v="2026-04-21T00:00:00"/>
    <s v="blank"/>
    <s v="M.Priya"/>
    <n v="25000"/>
    <x v="2"/>
    <s v="blank"/>
    <x v="1"/>
  </r>
  <r>
    <s v="ACT231"/>
    <d v="2026-04-21T00:00:00"/>
    <s v="blank"/>
    <s v="R.Satish"/>
    <n v="36000"/>
    <x v="2"/>
    <s v="blank"/>
    <x v="1"/>
  </r>
  <r>
    <s v="ACT232"/>
    <d v="2026-04-24T00:00:00"/>
    <s v="blank"/>
    <s v="G.N Murthy"/>
    <n v="200000"/>
    <x v="1"/>
    <s v="blank"/>
    <x v="1"/>
  </r>
  <r>
    <s v="ACT233"/>
    <d v="2026-04-25T00:00:00"/>
    <s v="blank"/>
    <s v="Pattabi Manikanta"/>
    <n v="110000"/>
    <x v="1"/>
    <s v="blank"/>
    <x v="1"/>
  </r>
  <r>
    <s v="ACT234"/>
    <d v="2026-04-29T00:00:00"/>
    <s v="blank"/>
    <s v="B.Ajay"/>
    <n v="408000"/>
    <x v="1"/>
    <s v="blank"/>
    <x v="1"/>
  </r>
  <r>
    <s v="ACT235"/>
    <d v="2026-04-30T00:00:00"/>
    <s v="blank"/>
    <s v="Vaddi Siva Shesha Rao"/>
    <n v="200000"/>
    <x v="1"/>
    <s v="blank"/>
    <x v="1"/>
  </r>
  <r>
    <s v="ACT236"/>
    <d v="2026-04-30T00:00:00"/>
    <s v="blank"/>
    <s v="G.Rajesh"/>
    <n v="250000"/>
    <x v="1"/>
    <s v="blank"/>
    <x v="1"/>
  </r>
  <r>
    <s v="ACT237"/>
    <d v="2026-04-30T00:00:00"/>
    <s v="blank"/>
    <s v="Dasari Suguna Veni"/>
    <n v="150000"/>
    <x v="1"/>
    <s v="blank"/>
    <x v="1"/>
  </r>
  <r>
    <s v="ACT238"/>
    <d v="2026-04-20T00:00:00"/>
    <s v="blank"/>
    <s v="Chadalawada Badramma"/>
    <n v="92200"/>
    <x v="0"/>
    <s v="blank"/>
    <x v="1"/>
  </r>
  <r>
    <s v="ACT239"/>
    <d v="2026-05-01T00:00:00"/>
    <s v="blank"/>
    <s v="Batta Suresh"/>
    <n v="70000"/>
    <x v="0"/>
    <s v="blank"/>
    <x v="1"/>
  </r>
  <r>
    <s v="ACT240"/>
    <d v="2026-05-02T00:00:00"/>
    <s v="blank"/>
    <s v="V.Venkat Sai"/>
    <n v="50000"/>
    <x v="2"/>
    <s v="blank"/>
    <x v="1"/>
  </r>
  <r>
    <s v="ACT241"/>
    <d v="2026-05-04T00:00:00"/>
    <s v="blank"/>
    <s v="V.Srinivas"/>
    <n v="85000"/>
    <x v="0"/>
    <s v="blank"/>
    <x v="1"/>
  </r>
  <r>
    <s v="ACT242"/>
    <d v="2026-05-04T00:00:00"/>
    <s v="blank"/>
    <s v="A.Ajay Kiran"/>
    <n v="150000"/>
    <x v="1"/>
    <s v="blank"/>
    <x v="1"/>
  </r>
  <r>
    <s v="ACT243"/>
    <d v="2026-05-05T00:00:00"/>
    <s v="blank"/>
    <s v="Gollakuti Rajesh"/>
    <n v="320000"/>
    <x v="1"/>
    <s v="blank"/>
    <x v="1"/>
  </r>
  <r>
    <s v="ACT244"/>
    <d v="2026-05-06T00:00:00"/>
    <s v="blank"/>
    <s v="P.Satyanaryana"/>
    <n v="85000"/>
    <x v="0"/>
    <s v="blank"/>
    <x v="1"/>
  </r>
  <r>
    <s v="ACT245"/>
    <d v="2026-05-07T00:00:00"/>
    <s v="blank"/>
    <s v="B.Padmaraj"/>
    <n v="80000"/>
    <x v="0"/>
    <s v="blank"/>
    <x v="1"/>
  </r>
  <r>
    <s v="ACT246"/>
    <d v="2026-05-07T00:00:00"/>
    <s v="blank"/>
    <s v="Ravuri Surya Naga Anjeneyalu"/>
    <n v="300000"/>
    <x v="1"/>
    <s v="blank"/>
    <x v="1"/>
  </r>
  <r>
    <s v="ACT247"/>
    <d v="2026-05-07T00:00:00"/>
    <s v="blank"/>
    <s v="V.Srinivas"/>
    <n v="45000"/>
    <x v="2"/>
    <s v="blank"/>
    <x v="1"/>
  </r>
  <r>
    <s v="ACT248"/>
    <d v="2026-05-07T00:00:00"/>
    <s v="blank"/>
    <s v="Karini Ramesh"/>
    <n v="50000"/>
    <x v="2"/>
    <s v="blank"/>
    <x v="1"/>
  </r>
  <r>
    <s v="ACT249"/>
    <d v="2026-05-08T00:00:00"/>
    <s v="blank"/>
    <s v="A.Ajay Kiran"/>
    <n v="350000"/>
    <x v="1"/>
    <s v="blank"/>
    <x v="1"/>
  </r>
  <r>
    <s v="ACT250"/>
    <d v="2026-05-09T00:00:00"/>
    <s v="blank"/>
    <s v="Didde Venkat Rao"/>
    <n v="80000"/>
    <x v="0"/>
    <s v="blank"/>
    <x v="1"/>
  </r>
  <r>
    <s v="ACT251"/>
    <d v="2026-05-10T00:00:00"/>
    <s v="blank"/>
    <s v="Komali Sudheer Gowda"/>
    <n v="100000"/>
    <x v="0"/>
    <s v="blank"/>
    <x v="1"/>
  </r>
  <r>
    <s v="ACT252"/>
    <d v="2026-05-11T00:00:00"/>
    <s v="blank"/>
    <s v="Rowthu Varalakshmi"/>
    <n v="50000"/>
    <x v="2"/>
    <s v="blank"/>
    <x v="1"/>
  </r>
  <r>
    <s v="ACT253"/>
    <d v="2026-05-16T00:00:00"/>
    <s v="blank"/>
    <s v="Muthi Narashimha Murthy"/>
    <n v="60000"/>
    <x v="0"/>
    <s v="blank"/>
    <x v="1"/>
  </r>
  <r>
    <s v="ACT254"/>
    <d v="2026-05-17T00:00:00"/>
    <s v="blank"/>
    <s v="Cherukuwada Durga Rao"/>
    <n v="61700"/>
    <x v="0"/>
    <s v="blank"/>
    <x v="1"/>
  </r>
  <r>
    <s v="ACT255"/>
    <d v="2026-05-18T00:00:00"/>
    <s v="blank"/>
    <s v="B.Padmaraj"/>
    <n v="70000"/>
    <x v="0"/>
    <s v="blank"/>
    <x v="1"/>
  </r>
  <r>
    <s v="ACT256"/>
    <d v="2026-05-18T00:00:00"/>
    <s v="blank"/>
    <s v="Nandiwada Krishna"/>
    <n v="120000"/>
    <x v="1"/>
    <s v="blank"/>
    <x v="1"/>
  </r>
  <r>
    <s v="ACT257"/>
    <d v="2026-05-18T00:00:00"/>
    <s v="blank"/>
    <s v="S.V.N Raju"/>
    <n v="20000"/>
    <x v="2"/>
    <s v="blank"/>
    <x v="1"/>
  </r>
  <r>
    <s v="ACT258"/>
    <d v="2026-05-18T00:00:00"/>
    <s v="blank"/>
    <s v="Thirrey Raj Teja"/>
    <n v="20000"/>
    <x v="2"/>
    <s v="blank"/>
    <x v="1"/>
  </r>
  <r>
    <s v="ACT259"/>
    <d v="2026-05-19T00:00:00"/>
    <s v="blank"/>
    <s v="G.Kalpana"/>
    <n v="55000"/>
    <x v="0"/>
    <s v="blank"/>
    <x v="1"/>
  </r>
  <r>
    <s v="ACT260"/>
    <d v="2026-05-19T00:00:00"/>
    <s v="blank"/>
    <s v="B.Venkat Krishna"/>
    <n v="150000"/>
    <x v="1"/>
    <s v="blank"/>
    <x v="1"/>
  </r>
  <r>
    <s v="ACT261"/>
    <d v="2026-05-19T00:00:00"/>
    <s v="blank"/>
    <s v="K.Simhachalam"/>
    <n v="50000"/>
    <x v="2"/>
    <s v="blank"/>
    <x v="1"/>
  </r>
  <r>
    <s v="ACT262"/>
    <d v="2026-05-20T00:00:00"/>
    <s v="blank"/>
    <s v="Bandi Apparao"/>
    <n v="25000"/>
    <x v="2"/>
    <s v="blank"/>
    <x v="1"/>
  </r>
  <r>
    <s v="ACT263"/>
    <d v="2026-05-20T00:00:00"/>
    <s v="blank"/>
    <s v="Karri Gangadharam"/>
    <n v="20000"/>
    <x v="2"/>
    <s v="blank"/>
    <x v="1"/>
  </r>
  <r>
    <s v="ACT264"/>
    <d v="2026-05-20T00:00:00"/>
    <s v="blank"/>
    <s v="Palli Satyanarayana"/>
    <n v="160000"/>
    <x v="1"/>
    <s v="blank"/>
    <x v="1"/>
  </r>
  <r>
    <s v="ACT265"/>
    <d v="2026-05-21T00:00:00"/>
    <s v="blank"/>
    <s v="Neerukonda Dharma Teja"/>
    <n v="25000"/>
    <x v="2"/>
    <s v="blank"/>
    <x v="1"/>
  </r>
  <r>
    <s v="ACT266"/>
    <d v="2026-05-23T00:00:00"/>
    <s v="blank"/>
    <s v="Madireddy Nageshwar Rao"/>
    <n v="150000"/>
    <x v="1"/>
    <s v="blank"/>
    <x v="1"/>
  </r>
  <r>
    <s v="ACT267"/>
    <d v="2026-05-23T00:00:00"/>
    <s v="blank"/>
    <s v="V.Srinivas"/>
    <n v="60000"/>
    <x v="0"/>
    <s v="blank"/>
    <x v="1"/>
  </r>
  <r>
    <s v="ACT268"/>
    <d v="2026-05-24T00:00:00"/>
    <s v="blank"/>
    <s v="Kambala Kota Sattibabu"/>
    <n v="62000"/>
    <x v="0"/>
    <s v="blank"/>
    <x v="1"/>
  </r>
  <r>
    <s v="ACT269"/>
    <d v="2026-05-24T00:00:00"/>
    <s v="blank"/>
    <s v="K.V.V Satyanarayana"/>
    <n v="35000"/>
    <x v="2"/>
    <s v="blank"/>
    <x v="1"/>
  </r>
  <r>
    <s v="ACT270"/>
    <d v="2026-05-25T00:00:00"/>
    <s v="blank"/>
    <s v="Koyi Ramesh"/>
    <n v="60000"/>
    <x v="0"/>
    <s v="blank"/>
    <x v="1"/>
  </r>
  <r>
    <s v="ACT271"/>
    <d v="2026-05-25T00:00:00"/>
    <s v="blank"/>
    <s v="A.Ajay Kiran"/>
    <n v="500000"/>
    <x v="1"/>
    <s v="blank"/>
    <x v="1"/>
  </r>
  <r>
    <s v="ACT272"/>
    <d v="2026-05-26T00:00:00"/>
    <s v="blank"/>
    <s v="Sk.Nalidh Ahamad"/>
    <n v="220000"/>
    <x v="1"/>
    <s v="blank"/>
    <x v="1"/>
  </r>
  <r>
    <s v="ACT273"/>
    <d v="2026-05-27T00:00:00"/>
    <s v="blank"/>
    <s v="Yarra Ramya"/>
    <n v="170000"/>
    <x v="1"/>
    <s v="blank"/>
    <x v="1"/>
  </r>
  <r>
    <s v="ACT274"/>
    <d v="2026-05-28T00:00:00"/>
    <s v="blank"/>
    <s v="Vaka Venkatesh"/>
    <n v="220000"/>
    <x v="1"/>
    <s v="blank"/>
    <x v="1"/>
  </r>
  <r>
    <s v="ACT275"/>
    <d v="2026-05-30T00:00:00"/>
    <s v="blank"/>
    <s v="Akabathula Manamma"/>
    <n v="70000"/>
    <x v="0"/>
    <s v="blank"/>
    <x v="1"/>
  </r>
  <r>
    <s v="ACT276"/>
    <d v="2026-05-30T00:00:00"/>
    <s v="blank"/>
    <s v="Jetty Gangadharam"/>
    <n v="50000"/>
    <x v="2"/>
    <s v="blank"/>
    <x v="1"/>
  </r>
  <r>
    <s v="ACT277"/>
    <d v="2026-05-30T00:00:00"/>
    <s v="blank"/>
    <s v="Bhavurisetti Nageshwarao"/>
    <n v="100000"/>
    <x v="0"/>
    <s v="blank"/>
    <x v="1"/>
  </r>
  <r>
    <s v="ACT278"/>
    <d v="2026-06-01T00:00:00"/>
    <s v="blank"/>
    <s v="P.Yesupadam"/>
    <n v="160000"/>
    <x v="1"/>
    <s v="blank"/>
    <x v="1"/>
  </r>
  <r>
    <s v="ACT279"/>
    <d v="2026-06-02T00:00:00"/>
    <s v="blank"/>
    <s v="Ubha Renuka"/>
    <n v="200000"/>
    <x v="1"/>
    <s v="blank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9FB70-C287-47C9-9151-E5816F45951E}" name="PivotTable6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32:H35" firstHeaderRow="1" firstDataRow="1" firstDataCol="1"/>
  <pivotFields count="8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Interest_Earned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336FC-A27C-4111-8035-9E0BDAAEFB53}" name="PivotTable5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2:B36" firstHeaderRow="1" firstDataRow="1" firstDataCol="1"/>
  <pivotFields count="8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ook_No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856F3-22E0-4ADF-9348-C26ACD83FBAA}" name="PivotTable4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14:H17" firstHeaderRow="1" firstDataRow="1" firstDataCol="1"/>
  <pivotFields count="8"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Principal_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857F9-A45A-4281-8855-C423FC23EEBC}" name="PivotTable3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4:B17" firstHeaderRow="1" firstDataRow="1" firstDataCol="1"/>
  <pivotFields count="8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Book_No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C7994-1A6C-404F-BAB6-3F3DE17ED552}" name="PivotTable1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5:B49" firstHeaderRow="1" firstDataRow="1" firstDataCol="1"/>
  <pivotFields count="8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ook_No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3E87E-6D58-4588-B740-BF81DA91F0C0}" name="Table1" displayName="Table1" ref="A1:F280" totalsRowShown="0" headerRowDxfId="15">
  <autoFilter ref="A1:F280" xr:uid="{3223E87E-6D58-4588-B740-BF81DA91F0C0}"/>
  <tableColumns count="6">
    <tableColumn id="1" xr3:uid="{A8ACA5F4-69AE-4BAC-8D24-891E7DDA96EC}" name="Active_ID" dataDxfId="14"/>
    <tableColumn id="2" xr3:uid="{AE72DC1E-5B92-4546-90F0-6FB3ED6EE3A2}" name="Dates" dataDxfId="13"/>
    <tableColumn id="3" xr3:uid="{0FD50EAE-024B-4B5F-BD2A-333B6ACD027B}" name="Customer Name" dataDxfId="12"/>
    <tableColumn id="4" xr3:uid="{AAC58E92-923D-48BF-A789-BAF8A978FC5C}" name="Amount" dataDxfId="11"/>
    <tableColumn id="6" xr3:uid="{4F54F7D4-0183-4632-8A5A-FA3E79546159}" name="0" dataDxfId="10">
      <calculatedColumnFormula>IF(D2&lt;=50000,1.5,IF(D2&lt;=100000,2,2.5))</calculatedColumnFormula>
    </tableColumn>
    <tableColumn id="5" xr3:uid="{877187A6-DFA4-4A56-937A-F20A40B46A8A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0AC4AB-C070-452E-92CA-EEDB2EADEC01}" name="Table2" displayName="Table2" ref="A1:H415" totalsRowShown="0" headerRowDxfId="9" tableBorderDxfId="8">
  <autoFilter ref="A1:H415" xr:uid="{0C0AC4AB-C070-452E-92CA-EEDB2EADEC01}"/>
  <tableColumns count="8">
    <tableColumn id="1" xr3:uid="{D5F50257-9CF8-4BF3-B741-4E925798DF97}" name="Book_No" dataDxfId="7"/>
    <tableColumn id="2" xr3:uid="{728988D7-2189-48B2-8420-CDCCEC119642}" name="Loan_Date" dataDxfId="6"/>
    <tableColumn id="3" xr3:uid="{343DEDB4-B11B-49CC-A02B-6ABDD2A93544}" name="Release_Date" dataDxfId="5"/>
    <tableColumn id="4" xr3:uid="{CDC68410-20E2-4460-A836-04AB93137A1B}" name="Customer_Name" dataDxfId="4"/>
    <tableColumn id="5" xr3:uid="{B9C960A6-8690-4D24-850A-D3EC1731ECD0}" name="Principal_Amount" dataDxfId="3"/>
    <tableColumn id="6" xr3:uid="{9357B50D-7879-4F5A-A9C3-46685315C2C2}" name="Interest_Rate" dataDxfId="2">
      <calculatedColumnFormula>IF(E2&lt;=50000,1.5,IF(E2&lt;=100000,2,2.5))</calculatedColumnFormula>
    </tableColumn>
    <tableColumn id="7" xr3:uid="{6848F22A-BA79-4E88-85A5-04798AEB2150}" name="Interest_Earned" dataDxfId="1"/>
    <tableColumn id="8" xr3:uid="{550DB0D3-6608-4386-86FA-A698F78C564B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0"/>
  <sheetViews>
    <sheetView workbookViewId="0">
      <selection activeCell="E1" sqref="E1:E1048576"/>
    </sheetView>
  </sheetViews>
  <sheetFormatPr defaultRowHeight="15"/>
  <cols>
    <col min="1" max="1" width="11.7109375" bestFit="1" customWidth="1"/>
    <col min="2" max="2" width="11.140625" bestFit="1" customWidth="1"/>
    <col min="3" max="3" width="29.7109375" style="6" bestFit="1" customWidth="1"/>
    <col min="4" max="4" width="10.42578125" bestFit="1" customWidth="1"/>
    <col min="5" max="5" width="14.7109375" bestFit="1" customWidth="1"/>
  </cols>
  <sheetData>
    <row r="1" spans="1:6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5" t="s">
        <v>5</v>
      </c>
    </row>
    <row r="2" spans="1:6">
      <c r="A2" s="2" t="s">
        <v>6</v>
      </c>
      <c r="B2" s="3">
        <v>44641</v>
      </c>
      <c r="C2" s="8" t="s">
        <v>7</v>
      </c>
      <c r="D2" s="4">
        <v>45000</v>
      </c>
      <c r="E2">
        <f>IF(D2&lt;=50000,1.5,IF(D2&lt;=100000,2,2.5))</f>
        <v>1.5</v>
      </c>
      <c r="F2" t="s">
        <v>8</v>
      </c>
    </row>
    <row r="3" spans="1:6">
      <c r="A3" s="2" t="s">
        <v>9</v>
      </c>
      <c r="B3" s="3">
        <v>44693</v>
      </c>
      <c r="C3" s="8" t="s">
        <v>10</v>
      </c>
      <c r="D3" s="4">
        <v>60000</v>
      </c>
      <c r="E3">
        <f t="shared" ref="E2:E65" si="0">IF(D3&lt;=50000,1.5,IF(D3&lt;=100000,2,2.5))</f>
        <v>2</v>
      </c>
      <c r="F3" t="s">
        <v>8</v>
      </c>
    </row>
    <row r="4" spans="1:6">
      <c r="A4" s="2" t="s">
        <v>11</v>
      </c>
      <c r="B4" s="3">
        <v>44319</v>
      </c>
      <c r="C4" s="8" t="s">
        <v>12</v>
      </c>
      <c r="D4" s="4">
        <v>30000</v>
      </c>
      <c r="E4">
        <f t="shared" si="0"/>
        <v>1.5</v>
      </c>
      <c r="F4" t="s">
        <v>8</v>
      </c>
    </row>
    <row r="5" spans="1:6">
      <c r="A5" s="2" t="s">
        <v>13</v>
      </c>
      <c r="B5" s="3">
        <v>44467</v>
      </c>
      <c r="C5" s="8" t="s">
        <v>14</v>
      </c>
      <c r="D5" s="4">
        <v>83000</v>
      </c>
      <c r="E5">
        <f t="shared" si="0"/>
        <v>2</v>
      </c>
      <c r="F5" t="s">
        <v>8</v>
      </c>
    </row>
    <row r="6" spans="1:6">
      <c r="A6" s="2" t="s">
        <v>15</v>
      </c>
      <c r="B6" s="3">
        <v>44517</v>
      </c>
      <c r="C6" s="8" t="s">
        <v>7</v>
      </c>
      <c r="D6" s="4">
        <v>100000</v>
      </c>
      <c r="E6">
        <f t="shared" si="0"/>
        <v>2</v>
      </c>
      <c r="F6" t="s">
        <v>8</v>
      </c>
    </row>
    <row r="7" spans="1:6">
      <c r="A7" s="2" t="s">
        <v>16</v>
      </c>
      <c r="B7" s="3">
        <v>44345</v>
      </c>
      <c r="C7" s="8" t="s">
        <v>17</v>
      </c>
      <c r="D7" s="4">
        <v>40000</v>
      </c>
      <c r="E7">
        <f t="shared" si="0"/>
        <v>1.5</v>
      </c>
      <c r="F7" t="s">
        <v>8</v>
      </c>
    </row>
    <row r="8" spans="1:6">
      <c r="A8" s="2" t="s">
        <v>18</v>
      </c>
      <c r="B8" s="3">
        <v>44879</v>
      </c>
      <c r="C8" s="8" t="s">
        <v>19</v>
      </c>
      <c r="D8" s="4">
        <v>134650</v>
      </c>
      <c r="E8">
        <f t="shared" si="0"/>
        <v>2.5</v>
      </c>
      <c r="F8" t="s">
        <v>8</v>
      </c>
    </row>
    <row r="9" spans="1:6">
      <c r="A9" s="2" t="s">
        <v>20</v>
      </c>
      <c r="B9" s="3">
        <v>44898</v>
      </c>
      <c r="C9" s="8" t="s">
        <v>21</v>
      </c>
      <c r="D9" s="4">
        <v>127000</v>
      </c>
      <c r="E9">
        <f t="shared" si="0"/>
        <v>2.5</v>
      </c>
      <c r="F9" t="s">
        <v>8</v>
      </c>
    </row>
    <row r="10" spans="1:6">
      <c r="A10" s="2" t="s">
        <v>22</v>
      </c>
      <c r="B10" s="3">
        <v>45004</v>
      </c>
      <c r="C10" s="8" t="s">
        <v>23</v>
      </c>
      <c r="D10" s="4">
        <v>110000</v>
      </c>
      <c r="E10">
        <f t="shared" si="0"/>
        <v>2.5</v>
      </c>
      <c r="F10" t="s">
        <v>8</v>
      </c>
    </row>
    <row r="11" spans="1:6">
      <c r="A11" s="2" t="s">
        <v>24</v>
      </c>
      <c r="B11" s="3">
        <v>45098</v>
      </c>
      <c r="C11" s="8" t="s">
        <v>25</v>
      </c>
      <c r="D11" s="4">
        <v>63000</v>
      </c>
      <c r="E11">
        <f t="shared" si="0"/>
        <v>2</v>
      </c>
      <c r="F11" t="s">
        <v>8</v>
      </c>
    </row>
    <row r="12" spans="1:6">
      <c r="A12" s="2" t="s">
        <v>26</v>
      </c>
      <c r="B12" s="3">
        <v>45129</v>
      </c>
      <c r="C12" s="8" t="s">
        <v>27</v>
      </c>
      <c r="D12" s="4">
        <v>90000</v>
      </c>
      <c r="E12">
        <f t="shared" si="0"/>
        <v>2</v>
      </c>
      <c r="F12" t="s">
        <v>8</v>
      </c>
    </row>
    <row r="13" spans="1:6">
      <c r="A13" s="2" t="s">
        <v>28</v>
      </c>
      <c r="B13" s="3">
        <v>45136</v>
      </c>
      <c r="C13" s="8" t="s">
        <v>29</v>
      </c>
      <c r="D13" s="4">
        <v>40000</v>
      </c>
      <c r="E13">
        <f t="shared" si="0"/>
        <v>1.5</v>
      </c>
      <c r="F13" t="s">
        <v>8</v>
      </c>
    </row>
    <row r="14" spans="1:6">
      <c r="A14" s="2" t="s">
        <v>30</v>
      </c>
      <c r="B14" s="3">
        <v>45194</v>
      </c>
      <c r="C14" s="8" t="s">
        <v>31</v>
      </c>
      <c r="D14" s="4">
        <v>80000</v>
      </c>
      <c r="E14">
        <f t="shared" si="0"/>
        <v>2</v>
      </c>
      <c r="F14" t="s">
        <v>8</v>
      </c>
    </row>
    <row r="15" spans="1:6">
      <c r="A15" s="2" t="s">
        <v>32</v>
      </c>
      <c r="B15" s="3">
        <v>45204</v>
      </c>
      <c r="C15" s="8" t="s">
        <v>33</v>
      </c>
      <c r="D15" s="4">
        <v>30000</v>
      </c>
      <c r="E15">
        <f t="shared" si="0"/>
        <v>1.5</v>
      </c>
      <c r="F15" t="s">
        <v>8</v>
      </c>
    </row>
    <row r="16" spans="1:6">
      <c r="A16" s="2" t="s">
        <v>34</v>
      </c>
      <c r="B16" s="3">
        <v>45203</v>
      </c>
      <c r="C16" s="8" t="s">
        <v>35</v>
      </c>
      <c r="D16" s="4">
        <v>70000</v>
      </c>
      <c r="E16">
        <f t="shared" si="0"/>
        <v>2</v>
      </c>
      <c r="F16" t="s">
        <v>8</v>
      </c>
    </row>
    <row r="17" spans="1:6">
      <c r="A17" s="2" t="s">
        <v>36</v>
      </c>
      <c r="B17" s="3">
        <v>45217</v>
      </c>
      <c r="C17" s="8" t="s">
        <v>37</v>
      </c>
      <c r="D17" s="4">
        <v>70000</v>
      </c>
      <c r="E17">
        <f t="shared" si="0"/>
        <v>2</v>
      </c>
      <c r="F17" t="s">
        <v>8</v>
      </c>
    </row>
    <row r="18" spans="1:6">
      <c r="A18" s="2" t="s">
        <v>38</v>
      </c>
      <c r="B18" s="3">
        <v>45257</v>
      </c>
      <c r="C18" s="8" t="s">
        <v>39</v>
      </c>
      <c r="D18" s="4">
        <v>32000</v>
      </c>
      <c r="E18">
        <f t="shared" si="0"/>
        <v>1.5</v>
      </c>
      <c r="F18" t="s">
        <v>8</v>
      </c>
    </row>
    <row r="19" spans="1:6">
      <c r="A19" s="2" t="s">
        <v>40</v>
      </c>
      <c r="B19" s="3">
        <v>45260</v>
      </c>
      <c r="C19" s="8" t="s">
        <v>41</v>
      </c>
      <c r="D19" s="4">
        <v>20000</v>
      </c>
      <c r="E19">
        <f t="shared" si="0"/>
        <v>1.5</v>
      </c>
      <c r="F19" t="s">
        <v>8</v>
      </c>
    </row>
    <row r="20" spans="1:6">
      <c r="A20" s="2" t="s">
        <v>42</v>
      </c>
      <c r="B20" s="3">
        <v>45295</v>
      </c>
      <c r="C20" s="8" t="s">
        <v>43</v>
      </c>
      <c r="D20" s="4">
        <v>20000</v>
      </c>
      <c r="E20">
        <f t="shared" si="0"/>
        <v>1.5</v>
      </c>
      <c r="F20" t="s">
        <v>8</v>
      </c>
    </row>
    <row r="21" spans="1:6">
      <c r="A21" s="2" t="s">
        <v>44</v>
      </c>
      <c r="B21" s="3">
        <v>45280</v>
      </c>
      <c r="C21" s="8" t="s">
        <v>45</v>
      </c>
      <c r="D21" s="4">
        <v>110000</v>
      </c>
      <c r="E21">
        <f t="shared" si="0"/>
        <v>2.5</v>
      </c>
      <c r="F21" t="s">
        <v>8</v>
      </c>
    </row>
    <row r="22" spans="1:6">
      <c r="A22" s="2" t="s">
        <v>46</v>
      </c>
      <c r="B22" s="3">
        <v>45311</v>
      </c>
      <c r="C22" s="8" t="s">
        <v>35</v>
      </c>
      <c r="D22" s="4">
        <v>30000</v>
      </c>
      <c r="E22">
        <f t="shared" si="0"/>
        <v>1.5</v>
      </c>
      <c r="F22" t="s">
        <v>8</v>
      </c>
    </row>
    <row r="23" spans="1:6">
      <c r="A23" s="2" t="s">
        <v>47</v>
      </c>
      <c r="B23" s="3">
        <v>45337</v>
      </c>
      <c r="C23" s="8" t="s">
        <v>48</v>
      </c>
      <c r="D23" s="4">
        <v>340000</v>
      </c>
      <c r="E23">
        <f t="shared" si="0"/>
        <v>2.5</v>
      </c>
      <c r="F23" t="s">
        <v>8</v>
      </c>
    </row>
    <row r="24" spans="1:6">
      <c r="A24" s="2" t="s">
        <v>49</v>
      </c>
      <c r="B24" s="3">
        <v>45341</v>
      </c>
      <c r="C24" s="8" t="s">
        <v>50</v>
      </c>
      <c r="D24" s="4">
        <v>70000</v>
      </c>
      <c r="E24">
        <f t="shared" si="0"/>
        <v>2</v>
      </c>
      <c r="F24" t="s">
        <v>8</v>
      </c>
    </row>
    <row r="25" spans="1:6">
      <c r="A25" s="2" t="s">
        <v>51</v>
      </c>
      <c r="B25" s="3">
        <v>45386</v>
      </c>
      <c r="C25" s="8" t="s">
        <v>52</v>
      </c>
      <c r="D25" s="4">
        <v>67000</v>
      </c>
      <c r="E25">
        <f t="shared" si="0"/>
        <v>2</v>
      </c>
      <c r="F25" t="s">
        <v>8</v>
      </c>
    </row>
    <row r="26" spans="1:6">
      <c r="A26" s="2" t="s">
        <v>53</v>
      </c>
      <c r="B26" s="3">
        <v>45390</v>
      </c>
      <c r="C26" s="8" t="s">
        <v>54</v>
      </c>
      <c r="D26" s="4">
        <v>40000</v>
      </c>
      <c r="E26">
        <f t="shared" si="0"/>
        <v>1.5</v>
      </c>
      <c r="F26" t="s">
        <v>8</v>
      </c>
    </row>
    <row r="27" spans="1:6">
      <c r="A27" s="2" t="s">
        <v>55</v>
      </c>
      <c r="B27" s="3">
        <v>45397</v>
      </c>
      <c r="C27" s="8" t="s">
        <v>56</v>
      </c>
      <c r="D27" s="4">
        <v>60000</v>
      </c>
      <c r="E27">
        <f t="shared" si="0"/>
        <v>2</v>
      </c>
      <c r="F27" t="s">
        <v>8</v>
      </c>
    </row>
    <row r="28" spans="1:6">
      <c r="A28" s="2" t="s">
        <v>57</v>
      </c>
      <c r="B28" s="3">
        <v>45411</v>
      </c>
      <c r="C28" s="8" t="s">
        <v>58</v>
      </c>
      <c r="D28" s="4">
        <v>120000</v>
      </c>
      <c r="E28">
        <f t="shared" si="0"/>
        <v>2.5</v>
      </c>
      <c r="F28" t="s">
        <v>8</v>
      </c>
    </row>
    <row r="29" spans="1:6">
      <c r="A29" s="2" t="s">
        <v>59</v>
      </c>
      <c r="B29" s="3">
        <v>45448</v>
      </c>
      <c r="C29" s="8" t="s">
        <v>58</v>
      </c>
      <c r="D29" s="4">
        <v>83000</v>
      </c>
      <c r="E29">
        <f t="shared" si="0"/>
        <v>2</v>
      </c>
      <c r="F29" t="s">
        <v>8</v>
      </c>
    </row>
    <row r="30" spans="1:6">
      <c r="A30" s="2" t="s">
        <v>60</v>
      </c>
      <c r="B30" s="3">
        <v>45508</v>
      </c>
      <c r="C30" s="8" t="s">
        <v>61</v>
      </c>
      <c r="D30" s="4">
        <v>20000</v>
      </c>
      <c r="E30">
        <f t="shared" si="0"/>
        <v>1.5</v>
      </c>
      <c r="F30" t="s">
        <v>8</v>
      </c>
    </row>
    <row r="31" spans="1:6">
      <c r="A31" s="2" t="s">
        <v>62</v>
      </c>
      <c r="B31" s="3">
        <v>45518</v>
      </c>
      <c r="C31" s="8" t="s">
        <v>63</v>
      </c>
      <c r="D31" s="4">
        <v>45000</v>
      </c>
      <c r="E31">
        <f t="shared" si="0"/>
        <v>1.5</v>
      </c>
      <c r="F31" t="s">
        <v>8</v>
      </c>
    </row>
    <row r="32" spans="1:6">
      <c r="A32" s="2" t="s">
        <v>64</v>
      </c>
      <c r="B32" s="3">
        <v>45526</v>
      </c>
      <c r="C32" s="8" t="s">
        <v>65</v>
      </c>
      <c r="D32" s="4">
        <v>100000</v>
      </c>
      <c r="E32">
        <f t="shared" si="0"/>
        <v>2</v>
      </c>
      <c r="F32" t="s">
        <v>8</v>
      </c>
    </row>
    <row r="33" spans="1:6">
      <c r="A33" s="2" t="s">
        <v>66</v>
      </c>
      <c r="B33" s="3">
        <v>45554</v>
      </c>
      <c r="C33" s="8" t="s">
        <v>67</v>
      </c>
      <c r="D33" s="4">
        <v>31000</v>
      </c>
      <c r="E33">
        <f t="shared" si="0"/>
        <v>1.5</v>
      </c>
      <c r="F33" t="s">
        <v>8</v>
      </c>
    </row>
    <row r="34" spans="1:6">
      <c r="A34" s="2" t="s">
        <v>68</v>
      </c>
      <c r="B34" s="3">
        <v>45563</v>
      </c>
      <c r="C34" s="8" t="s">
        <v>69</v>
      </c>
      <c r="D34" s="4">
        <v>163275</v>
      </c>
      <c r="E34">
        <f t="shared" si="0"/>
        <v>2.5</v>
      </c>
      <c r="F34" t="s">
        <v>8</v>
      </c>
    </row>
    <row r="35" spans="1:6">
      <c r="A35" s="2" t="s">
        <v>70</v>
      </c>
      <c r="B35" s="3">
        <v>45575</v>
      </c>
      <c r="C35" s="8" t="s">
        <v>71</v>
      </c>
      <c r="D35" s="4">
        <v>20000</v>
      </c>
      <c r="E35">
        <f t="shared" si="0"/>
        <v>1.5</v>
      </c>
      <c r="F35" t="s">
        <v>8</v>
      </c>
    </row>
    <row r="36" spans="1:6">
      <c r="A36" s="2" t="s">
        <v>72</v>
      </c>
      <c r="B36" s="3">
        <v>45589</v>
      </c>
      <c r="C36" s="8" t="s">
        <v>73</v>
      </c>
      <c r="D36" s="4">
        <v>40000</v>
      </c>
      <c r="E36">
        <f t="shared" si="0"/>
        <v>1.5</v>
      </c>
      <c r="F36" t="s">
        <v>8</v>
      </c>
    </row>
    <row r="37" spans="1:6">
      <c r="A37" s="2" t="s">
        <v>74</v>
      </c>
      <c r="B37" s="3">
        <v>45612</v>
      </c>
      <c r="C37" s="8" t="s">
        <v>75</v>
      </c>
      <c r="D37" s="4">
        <v>120000</v>
      </c>
      <c r="E37">
        <f t="shared" si="0"/>
        <v>2.5</v>
      </c>
      <c r="F37" t="s">
        <v>8</v>
      </c>
    </row>
    <row r="38" spans="1:6">
      <c r="A38" s="2" t="s">
        <v>76</v>
      </c>
      <c r="B38" s="3">
        <v>45616</v>
      </c>
      <c r="C38" s="8" t="s">
        <v>17</v>
      </c>
      <c r="D38" s="4">
        <v>150000</v>
      </c>
      <c r="E38">
        <f t="shared" si="0"/>
        <v>2.5</v>
      </c>
      <c r="F38" t="s">
        <v>8</v>
      </c>
    </row>
    <row r="39" spans="1:6">
      <c r="A39" s="2" t="s">
        <v>77</v>
      </c>
      <c r="B39" s="3">
        <v>45618</v>
      </c>
      <c r="C39" s="8" t="s">
        <v>78</v>
      </c>
      <c r="D39" s="4">
        <v>20000</v>
      </c>
      <c r="E39">
        <f t="shared" si="0"/>
        <v>1.5</v>
      </c>
      <c r="F39" t="s">
        <v>8</v>
      </c>
    </row>
    <row r="40" spans="1:6">
      <c r="A40" s="2" t="s">
        <v>79</v>
      </c>
      <c r="B40" s="3">
        <v>45617</v>
      </c>
      <c r="C40" s="8" t="s">
        <v>80</v>
      </c>
      <c r="D40" s="4">
        <v>30000</v>
      </c>
      <c r="E40">
        <f t="shared" si="0"/>
        <v>1.5</v>
      </c>
      <c r="F40" t="s">
        <v>8</v>
      </c>
    </row>
    <row r="41" spans="1:6">
      <c r="A41" s="2" t="s">
        <v>81</v>
      </c>
      <c r="B41" s="3">
        <v>45644</v>
      </c>
      <c r="C41" s="8" t="s">
        <v>82</v>
      </c>
      <c r="D41" s="4">
        <v>25000</v>
      </c>
      <c r="E41">
        <f t="shared" si="0"/>
        <v>1.5</v>
      </c>
      <c r="F41" t="s">
        <v>8</v>
      </c>
    </row>
    <row r="42" spans="1:6">
      <c r="A42" s="2" t="s">
        <v>83</v>
      </c>
      <c r="B42" s="3">
        <v>45651</v>
      </c>
      <c r="C42" s="8" t="s">
        <v>84</v>
      </c>
      <c r="D42" s="4">
        <v>20000</v>
      </c>
      <c r="E42">
        <f t="shared" si="0"/>
        <v>1.5</v>
      </c>
      <c r="F42" t="s">
        <v>8</v>
      </c>
    </row>
    <row r="43" spans="1:6">
      <c r="A43" s="2" t="s">
        <v>85</v>
      </c>
      <c r="B43" s="3">
        <v>45666</v>
      </c>
      <c r="C43" s="8" t="s">
        <v>86</v>
      </c>
      <c r="D43" s="2">
        <v>75000</v>
      </c>
      <c r="E43">
        <f t="shared" si="0"/>
        <v>2</v>
      </c>
      <c r="F43" t="s">
        <v>8</v>
      </c>
    </row>
    <row r="44" spans="1:6">
      <c r="A44" s="2" t="s">
        <v>87</v>
      </c>
      <c r="B44" s="3">
        <v>45667</v>
      </c>
      <c r="C44" s="8" t="s">
        <v>88</v>
      </c>
      <c r="D44" s="4">
        <v>51100</v>
      </c>
      <c r="E44">
        <f t="shared" si="0"/>
        <v>2</v>
      </c>
      <c r="F44" t="s">
        <v>8</v>
      </c>
    </row>
    <row r="45" spans="1:6">
      <c r="A45" s="2" t="s">
        <v>89</v>
      </c>
      <c r="B45" s="3">
        <v>45679</v>
      </c>
      <c r="C45" s="8" t="s">
        <v>90</v>
      </c>
      <c r="D45" s="4">
        <v>20000</v>
      </c>
      <c r="E45">
        <f t="shared" si="0"/>
        <v>1.5</v>
      </c>
      <c r="F45" t="s">
        <v>8</v>
      </c>
    </row>
    <row r="46" spans="1:6">
      <c r="A46" s="2" t="s">
        <v>91</v>
      </c>
      <c r="B46" s="3">
        <v>45680</v>
      </c>
      <c r="C46" s="8" t="s">
        <v>82</v>
      </c>
      <c r="D46" s="4">
        <v>100000</v>
      </c>
      <c r="E46">
        <f t="shared" si="0"/>
        <v>2</v>
      </c>
      <c r="F46" t="s">
        <v>8</v>
      </c>
    </row>
    <row r="47" spans="1:6">
      <c r="A47" s="2" t="s">
        <v>92</v>
      </c>
      <c r="B47" s="3">
        <v>45680</v>
      </c>
      <c r="C47" s="8" t="s">
        <v>93</v>
      </c>
      <c r="D47" s="4">
        <v>45000</v>
      </c>
      <c r="E47">
        <f t="shared" si="0"/>
        <v>1.5</v>
      </c>
      <c r="F47" t="s">
        <v>8</v>
      </c>
    </row>
    <row r="48" spans="1:6">
      <c r="A48" s="2" t="s">
        <v>94</v>
      </c>
      <c r="B48" s="3">
        <v>45704</v>
      </c>
      <c r="C48" s="8" t="s">
        <v>95</v>
      </c>
      <c r="D48" s="4">
        <v>60000</v>
      </c>
      <c r="E48">
        <f t="shared" si="0"/>
        <v>2</v>
      </c>
      <c r="F48" t="s">
        <v>8</v>
      </c>
    </row>
    <row r="49" spans="1:6">
      <c r="A49" s="2" t="s">
        <v>96</v>
      </c>
      <c r="B49" s="3">
        <v>45705</v>
      </c>
      <c r="C49" s="8" t="s">
        <v>97</v>
      </c>
      <c r="D49" s="4">
        <v>90000</v>
      </c>
      <c r="E49">
        <f t="shared" si="0"/>
        <v>2</v>
      </c>
      <c r="F49" t="s">
        <v>8</v>
      </c>
    </row>
    <row r="50" spans="1:6">
      <c r="A50" s="2" t="s">
        <v>98</v>
      </c>
      <c r="B50" s="3">
        <v>45706</v>
      </c>
      <c r="C50" s="8" t="s">
        <v>58</v>
      </c>
      <c r="D50" s="4">
        <v>140000</v>
      </c>
      <c r="E50">
        <f t="shared" si="0"/>
        <v>2.5</v>
      </c>
      <c r="F50" t="s">
        <v>8</v>
      </c>
    </row>
    <row r="51" spans="1:6">
      <c r="A51" s="2" t="s">
        <v>99</v>
      </c>
      <c r="B51" s="3">
        <v>45707</v>
      </c>
      <c r="C51" s="8" t="s">
        <v>17</v>
      </c>
      <c r="D51" s="4">
        <v>70000</v>
      </c>
      <c r="E51">
        <f t="shared" si="0"/>
        <v>2</v>
      </c>
      <c r="F51" t="s">
        <v>8</v>
      </c>
    </row>
    <row r="52" spans="1:6">
      <c r="A52" s="2" t="s">
        <v>100</v>
      </c>
      <c r="B52" s="3">
        <v>45712</v>
      </c>
      <c r="C52" s="8" t="s">
        <v>101</v>
      </c>
      <c r="D52" s="4">
        <v>30000</v>
      </c>
      <c r="E52">
        <f t="shared" si="0"/>
        <v>1.5</v>
      </c>
      <c r="F52" t="s">
        <v>8</v>
      </c>
    </row>
    <row r="53" spans="1:6">
      <c r="A53" s="2" t="s">
        <v>102</v>
      </c>
      <c r="B53" s="3">
        <v>45716</v>
      </c>
      <c r="C53" s="8" t="s">
        <v>103</v>
      </c>
      <c r="D53" s="4">
        <v>40000</v>
      </c>
      <c r="E53">
        <f t="shared" si="0"/>
        <v>1.5</v>
      </c>
      <c r="F53" t="s">
        <v>8</v>
      </c>
    </row>
    <row r="54" spans="1:6">
      <c r="A54" s="2" t="s">
        <v>104</v>
      </c>
      <c r="B54" s="3">
        <v>45736</v>
      </c>
      <c r="C54" s="8" t="s">
        <v>105</v>
      </c>
      <c r="D54" s="4">
        <v>50000</v>
      </c>
      <c r="E54">
        <f t="shared" si="0"/>
        <v>1.5</v>
      </c>
      <c r="F54" t="s">
        <v>8</v>
      </c>
    </row>
    <row r="55" spans="1:6">
      <c r="A55" s="2" t="s">
        <v>106</v>
      </c>
      <c r="B55" s="3">
        <v>45737</v>
      </c>
      <c r="C55" s="8" t="s">
        <v>107</v>
      </c>
      <c r="D55" s="4">
        <v>104000</v>
      </c>
      <c r="E55">
        <f t="shared" si="0"/>
        <v>2.5</v>
      </c>
      <c r="F55" t="s">
        <v>8</v>
      </c>
    </row>
    <row r="56" spans="1:6">
      <c r="A56" s="2" t="s">
        <v>108</v>
      </c>
      <c r="B56" s="3">
        <v>45738</v>
      </c>
      <c r="C56" s="8" t="s">
        <v>109</v>
      </c>
      <c r="D56" s="4">
        <v>20000</v>
      </c>
      <c r="E56">
        <f t="shared" si="0"/>
        <v>1.5</v>
      </c>
      <c r="F56" t="s">
        <v>8</v>
      </c>
    </row>
    <row r="57" spans="1:6">
      <c r="A57" s="2" t="s">
        <v>110</v>
      </c>
      <c r="B57" s="3">
        <v>45759</v>
      </c>
      <c r="C57" s="8" t="s">
        <v>111</v>
      </c>
      <c r="D57" s="4">
        <v>122000</v>
      </c>
      <c r="E57">
        <f t="shared" si="0"/>
        <v>2.5</v>
      </c>
      <c r="F57" t="s">
        <v>8</v>
      </c>
    </row>
    <row r="58" spans="1:6">
      <c r="A58" s="2" t="s">
        <v>112</v>
      </c>
      <c r="B58" s="3">
        <v>45722</v>
      </c>
      <c r="C58" s="8" t="s">
        <v>113</v>
      </c>
      <c r="D58" s="4">
        <v>80000</v>
      </c>
      <c r="E58">
        <f t="shared" si="0"/>
        <v>2</v>
      </c>
      <c r="F58" t="s">
        <v>8</v>
      </c>
    </row>
    <row r="59" spans="1:6">
      <c r="A59" s="2" t="s">
        <v>114</v>
      </c>
      <c r="B59" s="3">
        <v>45789</v>
      </c>
      <c r="C59" s="8" t="s">
        <v>115</v>
      </c>
      <c r="D59" s="4">
        <v>50000</v>
      </c>
      <c r="E59">
        <f t="shared" si="0"/>
        <v>1.5</v>
      </c>
      <c r="F59" t="s">
        <v>8</v>
      </c>
    </row>
    <row r="60" spans="1:6">
      <c r="A60" s="2" t="s">
        <v>116</v>
      </c>
      <c r="B60" s="3">
        <v>45797</v>
      </c>
      <c r="C60" s="8" t="s">
        <v>117</v>
      </c>
      <c r="D60" s="4">
        <v>225000</v>
      </c>
      <c r="E60">
        <f t="shared" si="0"/>
        <v>2.5</v>
      </c>
      <c r="F60" t="s">
        <v>8</v>
      </c>
    </row>
    <row r="61" spans="1:6">
      <c r="A61" s="2" t="s">
        <v>118</v>
      </c>
      <c r="B61" s="3">
        <v>45798</v>
      </c>
      <c r="C61" s="8" t="s">
        <v>119</v>
      </c>
      <c r="D61" s="4">
        <v>20000</v>
      </c>
      <c r="E61">
        <f t="shared" si="0"/>
        <v>1.5</v>
      </c>
      <c r="F61" t="s">
        <v>8</v>
      </c>
    </row>
    <row r="62" spans="1:6">
      <c r="A62" s="2" t="s">
        <v>120</v>
      </c>
      <c r="B62" s="3">
        <v>45806</v>
      </c>
      <c r="C62" s="8" t="s">
        <v>121</v>
      </c>
      <c r="D62" s="4">
        <v>35000</v>
      </c>
      <c r="E62">
        <f t="shared" si="0"/>
        <v>1.5</v>
      </c>
      <c r="F62" t="s">
        <v>8</v>
      </c>
    </row>
    <row r="63" spans="1:6">
      <c r="A63" s="2" t="s">
        <v>122</v>
      </c>
      <c r="B63" s="3">
        <v>45807</v>
      </c>
      <c r="C63" s="8" t="s">
        <v>123</v>
      </c>
      <c r="D63" s="4">
        <v>30000</v>
      </c>
      <c r="E63">
        <f t="shared" si="0"/>
        <v>1.5</v>
      </c>
      <c r="F63" t="s">
        <v>8</v>
      </c>
    </row>
    <row r="64" spans="1:6">
      <c r="A64" s="2" t="s">
        <v>124</v>
      </c>
      <c r="B64" s="3">
        <v>45815</v>
      </c>
      <c r="C64" s="8" t="s">
        <v>125</v>
      </c>
      <c r="D64" s="4">
        <v>60000</v>
      </c>
      <c r="E64">
        <f t="shared" si="0"/>
        <v>2</v>
      </c>
      <c r="F64" t="s">
        <v>8</v>
      </c>
    </row>
    <row r="65" spans="1:6">
      <c r="A65" s="2" t="s">
        <v>126</v>
      </c>
      <c r="B65" s="3">
        <v>45817</v>
      </c>
      <c r="C65" s="8" t="s">
        <v>127</v>
      </c>
      <c r="D65" s="4">
        <v>60000</v>
      </c>
      <c r="E65">
        <f t="shared" si="0"/>
        <v>2</v>
      </c>
      <c r="F65" t="s">
        <v>8</v>
      </c>
    </row>
    <row r="66" spans="1:6">
      <c r="A66" s="2" t="s">
        <v>128</v>
      </c>
      <c r="B66" s="3">
        <v>45825</v>
      </c>
      <c r="C66" s="8" t="s">
        <v>129</v>
      </c>
      <c r="D66" s="4">
        <v>30000</v>
      </c>
      <c r="E66">
        <f t="shared" ref="E66:E129" si="1">IF(D66&lt;=50000,1.5,IF(D66&lt;=100000,2,2.5))</f>
        <v>1.5</v>
      </c>
      <c r="F66" t="s">
        <v>8</v>
      </c>
    </row>
    <row r="67" spans="1:6">
      <c r="A67" s="2" t="s">
        <v>130</v>
      </c>
      <c r="B67" s="3">
        <v>45823</v>
      </c>
      <c r="C67" s="8" t="s">
        <v>131</v>
      </c>
      <c r="D67" s="4">
        <v>60000</v>
      </c>
      <c r="E67">
        <f t="shared" si="1"/>
        <v>2</v>
      </c>
      <c r="F67" t="s">
        <v>8</v>
      </c>
    </row>
    <row r="68" spans="1:6">
      <c r="A68" s="2" t="s">
        <v>132</v>
      </c>
      <c r="B68" s="3">
        <v>45828</v>
      </c>
      <c r="C68" s="8" t="s">
        <v>133</v>
      </c>
      <c r="D68" s="4">
        <v>30000</v>
      </c>
      <c r="E68">
        <f t="shared" si="1"/>
        <v>1.5</v>
      </c>
      <c r="F68" t="s">
        <v>8</v>
      </c>
    </row>
    <row r="69" spans="1:6">
      <c r="A69" s="2" t="s">
        <v>134</v>
      </c>
      <c r="B69" s="3">
        <v>45828</v>
      </c>
      <c r="C69" s="8" t="s">
        <v>135</v>
      </c>
      <c r="D69" s="4">
        <v>40000</v>
      </c>
      <c r="E69">
        <f t="shared" si="1"/>
        <v>1.5</v>
      </c>
      <c r="F69" t="s">
        <v>8</v>
      </c>
    </row>
    <row r="70" spans="1:6">
      <c r="A70" s="2" t="s">
        <v>136</v>
      </c>
      <c r="B70" s="3">
        <v>45828</v>
      </c>
      <c r="C70" s="8" t="s">
        <v>137</v>
      </c>
      <c r="D70" s="4">
        <v>105000</v>
      </c>
      <c r="E70">
        <f t="shared" si="1"/>
        <v>2.5</v>
      </c>
      <c r="F70" t="s">
        <v>8</v>
      </c>
    </row>
    <row r="71" spans="1:6">
      <c r="A71" s="2" t="s">
        <v>138</v>
      </c>
      <c r="B71" s="3">
        <v>45832</v>
      </c>
      <c r="C71" s="8" t="s">
        <v>139</v>
      </c>
      <c r="D71" s="4">
        <v>100000</v>
      </c>
      <c r="E71">
        <f t="shared" si="1"/>
        <v>2</v>
      </c>
      <c r="F71" t="s">
        <v>8</v>
      </c>
    </row>
    <row r="72" spans="1:6">
      <c r="A72" s="2" t="s">
        <v>140</v>
      </c>
      <c r="B72" s="3">
        <v>45848</v>
      </c>
      <c r="C72" s="8" t="s">
        <v>141</v>
      </c>
      <c r="D72" s="4">
        <v>70000</v>
      </c>
      <c r="E72">
        <f t="shared" si="1"/>
        <v>2</v>
      </c>
      <c r="F72" t="s">
        <v>8</v>
      </c>
    </row>
    <row r="73" spans="1:6">
      <c r="A73" s="2" t="s">
        <v>142</v>
      </c>
      <c r="B73" s="3">
        <v>45857</v>
      </c>
      <c r="C73" s="8" t="s">
        <v>143</v>
      </c>
      <c r="D73" s="4">
        <v>200000</v>
      </c>
      <c r="E73">
        <f t="shared" si="1"/>
        <v>2.5</v>
      </c>
      <c r="F73" t="s">
        <v>8</v>
      </c>
    </row>
    <row r="74" spans="1:6">
      <c r="A74" s="2" t="s">
        <v>144</v>
      </c>
      <c r="B74" s="3">
        <v>45876</v>
      </c>
      <c r="C74" s="8" t="s">
        <v>145</v>
      </c>
      <c r="D74" s="4">
        <v>115000</v>
      </c>
      <c r="E74">
        <f t="shared" si="1"/>
        <v>2.5</v>
      </c>
      <c r="F74" t="s">
        <v>8</v>
      </c>
    </row>
    <row r="75" spans="1:6">
      <c r="A75" s="2" t="s">
        <v>146</v>
      </c>
      <c r="B75" s="3">
        <v>45880</v>
      </c>
      <c r="C75" s="8" t="s">
        <v>147</v>
      </c>
      <c r="D75" s="4">
        <v>100000</v>
      </c>
      <c r="E75">
        <f t="shared" si="1"/>
        <v>2</v>
      </c>
      <c r="F75" t="s">
        <v>8</v>
      </c>
    </row>
    <row r="76" spans="1:6">
      <c r="A76" s="2" t="s">
        <v>148</v>
      </c>
      <c r="B76" s="3">
        <v>45880</v>
      </c>
      <c r="C76" s="8" t="s">
        <v>149</v>
      </c>
      <c r="D76" s="4">
        <v>150000</v>
      </c>
      <c r="E76">
        <f t="shared" si="1"/>
        <v>2.5</v>
      </c>
      <c r="F76" t="s">
        <v>8</v>
      </c>
    </row>
    <row r="77" spans="1:6">
      <c r="A77" s="2" t="s">
        <v>150</v>
      </c>
      <c r="B77" s="3">
        <v>45887</v>
      </c>
      <c r="C77" s="8" t="s">
        <v>151</v>
      </c>
      <c r="D77" s="4">
        <v>100000</v>
      </c>
      <c r="E77">
        <f t="shared" si="1"/>
        <v>2</v>
      </c>
      <c r="F77" t="s">
        <v>8</v>
      </c>
    </row>
    <row r="78" spans="1:6">
      <c r="A78" s="2" t="s">
        <v>152</v>
      </c>
      <c r="B78" s="3">
        <v>45890</v>
      </c>
      <c r="C78" s="8" t="s">
        <v>153</v>
      </c>
      <c r="D78" s="4">
        <v>25000</v>
      </c>
      <c r="E78">
        <f t="shared" si="1"/>
        <v>1.5</v>
      </c>
      <c r="F78" t="s">
        <v>8</v>
      </c>
    </row>
    <row r="79" spans="1:6">
      <c r="A79" s="2" t="s">
        <v>154</v>
      </c>
      <c r="B79" s="3">
        <v>45890</v>
      </c>
      <c r="C79" s="8" t="s">
        <v>155</v>
      </c>
      <c r="D79" s="4">
        <v>20000</v>
      </c>
      <c r="E79">
        <f t="shared" si="1"/>
        <v>1.5</v>
      </c>
      <c r="F79" t="s">
        <v>8</v>
      </c>
    </row>
    <row r="80" spans="1:6">
      <c r="A80" s="2" t="s">
        <v>156</v>
      </c>
      <c r="B80" s="3">
        <v>45890</v>
      </c>
      <c r="C80" s="8" t="s">
        <v>153</v>
      </c>
      <c r="D80" s="4">
        <v>25000</v>
      </c>
      <c r="E80">
        <f t="shared" si="1"/>
        <v>1.5</v>
      </c>
      <c r="F80" t="s">
        <v>8</v>
      </c>
    </row>
    <row r="81" spans="1:6">
      <c r="A81" s="2" t="s">
        <v>157</v>
      </c>
      <c r="B81" s="3">
        <v>45892</v>
      </c>
      <c r="C81" s="8" t="s">
        <v>158</v>
      </c>
      <c r="D81" s="4">
        <v>30000</v>
      </c>
      <c r="E81">
        <f t="shared" si="1"/>
        <v>1.5</v>
      </c>
      <c r="F81" t="s">
        <v>8</v>
      </c>
    </row>
    <row r="82" spans="1:6">
      <c r="A82" s="2" t="s">
        <v>159</v>
      </c>
      <c r="B82" s="3">
        <v>45894</v>
      </c>
      <c r="C82" s="8" t="s">
        <v>160</v>
      </c>
      <c r="D82" s="4">
        <v>130000</v>
      </c>
      <c r="E82">
        <f t="shared" si="1"/>
        <v>2.5</v>
      </c>
      <c r="F82" t="s">
        <v>8</v>
      </c>
    </row>
    <row r="83" spans="1:6">
      <c r="A83" s="2" t="s">
        <v>161</v>
      </c>
      <c r="B83" s="3">
        <v>45899</v>
      </c>
      <c r="C83" s="8" t="s">
        <v>162</v>
      </c>
      <c r="D83" s="4">
        <v>50000</v>
      </c>
      <c r="E83">
        <f t="shared" si="1"/>
        <v>1.5</v>
      </c>
      <c r="F83" t="s">
        <v>8</v>
      </c>
    </row>
    <row r="84" spans="1:6">
      <c r="A84" s="2" t="s">
        <v>163</v>
      </c>
      <c r="B84" s="3">
        <v>45889</v>
      </c>
      <c r="C84" s="8" t="s">
        <v>164</v>
      </c>
      <c r="D84" s="4">
        <v>20000</v>
      </c>
      <c r="E84">
        <f t="shared" si="1"/>
        <v>1.5</v>
      </c>
      <c r="F84" t="s">
        <v>8</v>
      </c>
    </row>
    <row r="85" spans="1:6">
      <c r="A85" s="2" t="s">
        <v>165</v>
      </c>
      <c r="B85" s="3">
        <v>45902</v>
      </c>
      <c r="C85" s="8" t="s">
        <v>166</v>
      </c>
      <c r="D85" s="4">
        <v>20000</v>
      </c>
      <c r="E85">
        <f t="shared" si="1"/>
        <v>1.5</v>
      </c>
      <c r="F85" t="s">
        <v>8</v>
      </c>
    </row>
    <row r="86" spans="1:6">
      <c r="A86" s="2" t="s">
        <v>167</v>
      </c>
      <c r="B86" s="3">
        <v>45902</v>
      </c>
      <c r="C86" s="8" t="s">
        <v>168</v>
      </c>
      <c r="D86" s="4">
        <v>50000</v>
      </c>
      <c r="E86">
        <f t="shared" si="1"/>
        <v>1.5</v>
      </c>
      <c r="F86" t="s">
        <v>8</v>
      </c>
    </row>
    <row r="87" spans="1:6">
      <c r="A87" s="2" t="s">
        <v>169</v>
      </c>
      <c r="B87" s="3">
        <v>45911</v>
      </c>
      <c r="C87" s="8" t="s">
        <v>170</v>
      </c>
      <c r="D87" s="4">
        <v>84000</v>
      </c>
      <c r="E87">
        <f t="shared" si="1"/>
        <v>2</v>
      </c>
      <c r="F87" t="s">
        <v>8</v>
      </c>
    </row>
    <row r="88" spans="1:6">
      <c r="A88" s="2" t="s">
        <v>171</v>
      </c>
      <c r="B88" s="3">
        <v>45912</v>
      </c>
      <c r="C88" s="8" t="s">
        <v>172</v>
      </c>
      <c r="D88" s="4">
        <v>35000</v>
      </c>
      <c r="E88">
        <f t="shared" si="1"/>
        <v>1.5</v>
      </c>
      <c r="F88" t="s">
        <v>8</v>
      </c>
    </row>
    <row r="89" spans="1:6">
      <c r="A89" s="2" t="s">
        <v>173</v>
      </c>
      <c r="B89" s="3">
        <v>45912</v>
      </c>
      <c r="C89" s="8" t="s">
        <v>174</v>
      </c>
      <c r="D89" s="4">
        <v>60000</v>
      </c>
      <c r="E89">
        <f t="shared" si="1"/>
        <v>2</v>
      </c>
      <c r="F89" t="s">
        <v>8</v>
      </c>
    </row>
    <row r="90" spans="1:6">
      <c r="A90" s="2" t="s">
        <v>175</v>
      </c>
      <c r="B90" s="3">
        <v>45915</v>
      </c>
      <c r="C90" s="8" t="s">
        <v>176</v>
      </c>
      <c r="D90" s="4">
        <v>30000</v>
      </c>
      <c r="E90">
        <f t="shared" si="1"/>
        <v>1.5</v>
      </c>
      <c r="F90" t="s">
        <v>8</v>
      </c>
    </row>
    <row r="91" spans="1:6">
      <c r="A91" s="2" t="s">
        <v>177</v>
      </c>
      <c r="B91" s="3">
        <v>45920</v>
      </c>
      <c r="C91" s="8" t="s">
        <v>178</v>
      </c>
      <c r="D91" s="4">
        <v>30000</v>
      </c>
      <c r="E91">
        <f t="shared" si="1"/>
        <v>1.5</v>
      </c>
      <c r="F91" t="s">
        <v>8</v>
      </c>
    </row>
    <row r="92" spans="1:6">
      <c r="A92" s="2" t="s">
        <v>179</v>
      </c>
      <c r="B92" s="3">
        <v>45915</v>
      </c>
      <c r="C92" s="8" t="s">
        <v>180</v>
      </c>
      <c r="D92" s="4">
        <v>156000</v>
      </c>
      <c r="E92">
        <f t="shared" si="1"/>
        <v>2.5</v>
      </c>
      <c r="F92" t="s">
        <v>8</v>
      </c>
    </row>
    <row r="93" spans="1:6">
      <c r="A93" s="2" t="s">
        <v>181</v>
      </c>
      <c r="B93" s="3">
        <v>45920</v>
      </c>
      <c r="C93" s="8" t="s">
        <v>182</v>
      </c>
      <c r="D93" s="4">
        <v>120000</v>
      </c>
      <c r="E93">
        <f t="shared" si="1"/>
        <v>2.5</v>
      </c>
      <c r="F93" t="s">
        <v>8</v>
      </c>
    </row>
    <row r="94" spans="1:6">
      <c r="A94" s="2" t="s">
        <v>183</v>
      </c>
      <c r="B94" s="3">
        <v>45920</v>
      </c>
      <c r="C94" s="8" t="s">
        <v>184</v>
      </c>
      <c r="D94" s="4">
        <v>250000</v>
      </c>
      <c r="E94">
        <f t="shared" si="1"/>
        <v>2.5</v>
      </c>
      <c r="F94" t="s">
        <v>8</v>
      </c>
    </row>
    <row r="95" spans="1:6">
      <c r="A95" s="2" t="s">
        <v>185</v>
      </c>
      <c r="B95" s="3">
        <v>45925</v>
      </c>
      <c r="C95" s="8" t="s">
        <v>186</v>
      </c>
      <c r="D95" s="4">
        <v>23400</v>
      </c>
      <c r="E95">
        <f t="shared" si="1"/>
        <v>1.5</v>
      </c>
      <c r="F95" t="s">
        <v>8</v>
      </c>
    </row>
    <row r="96" spans="1:6">
      <c r="A96" s="2" t="s">
        <v>187</v>
      </c>
      <c r="B96" s="3">
        <v>45931</v>
      </c>
      <c r="C96" s="8" t="s">
        <v>188</v>
      </c>
      <c r="D96" s="4">
        <v>130000</v>
      </c>
      <c r="E96">
        <f t="shared" si="1"/>
        <v>2.5</v>
      </c>
      <c r="F96" t="s">
        <v>8</v>
      </c>
    </row>
    <row r="97" spans="1:6">
      <c r="A97" s="2" t="s">
        <v>189</v>
      </c>
      <c r="B97" s="3">
        <v>45936</v>
      </c>
      <c r="C97" s="8" t="s">
        <v>190</v>
      </c>
      <c r="D97" s="4">
        <v>25000</v>
      </c>
      <c r="E97">
        <f t="shared" si="1"/>
        <v>1.5</v>
      </c>
      <c r="F97" t="s">
        <v>8</v>
      </c>
    </row>
    <row r="98" spans="1:6">
      <c r="A98" s="2" t="s">
        <v>191</v>
      </c>
      <c r="B98" s="3">
        <v>45936</v>
      </c>
      <c r="C98" s="8" t="s">
        <v>192</v>
      </c>
      <c r="D98" s="4">
        <v>30000</v>
      </c>
      <c r="E98">
        <f t="shared" si="1"/>
        <v>1.5</v>
      </c>
      <c r="F98" t="s">
        <v>8</v>
      </c>
    </row>
    <row r="99" spans="1:6">
      <c r="A99" s="2" t="s">
        <v>193</v>
      </c>
      <c r="B99" s="3">
        <v>45936</v>
      </c>
      <c r="C99" s="8" t="s">
        <v>194</v>
      </c>
      <c r="D99" s="4">
        <v>109000</v>
      </c>
      <c r="E99">
        <f t="shared" si="1"/>
        <v>2.5</v>
      </c>
      <c r="F99" t="s">
        <v>8</v>
      </c>
    </row>
    <row r="100" spans="1:6">
      <c r="A100" s="2" t="s">
        <v>195</v>
      </c>
      <c r="B100" s="3">
        <v>45937</v>
      </c>
      <c r="C100" s="8" t="s">
        <v>196</v>
      </c>
      <c r="D100" s="4">
        <v>70000</v>
      </c>
      <c r="E100">
        <f t="shared" si="1"/>
        <v>2</v>
      </c>
      <c r="F100" t="s">
        <v>8</v>
      </c>
    </row>
    <row r="101" spans="1:6">
      <c r="A101" s="2" t="s">
        <v>197</v>
      </c>
      <c r="B101" s="3">
        <v>45937</v>
      </c>
      <c r="C101" s="8" t="s">
        <v>198</v>
      </c>
      <c r="D101" s="4">
        <v>80000</v>
      </c>
      <c r="E101">
        <f t="shared" si="1"/>
        <v>2</v>
      </c>
      <c r="F101" t="s">
        <v>8</v>
      </c>
    </row>
    <row r="102" spans="1:6">
      <c r="A102" s="2" t="s">
        <v>199</v>
      </c>
      <c r="B102" s="3">
        <v>45951</v>
      </c>
      <c r="C102" s="8" t="s">
        <v>200</v>
      </c>
      <c r="D102" s="4">
        <v>230000</v>
      </c>
      <c r="E102">
        <f t="shared" si="1"/>
        <v>2.5</v>
      </c>
      <c r="F102" t="s">
        <v>8</v>
      </c>
    </row>
    <row r="103" spans="1:6">
      <c r="A103" s="2" t="s">
        <v>201</v>
      </c>
      <c r="B103" s="3">
        <v>45952</v>
      </c>
      <c r="C103" s="8" t="s">
        <v>202</v>
      </c>
      <c r="D103" s="4">
        <v>120000</v>
      </c>
      <c r="E103">
        <f t="shared" si="1"/>
        <v>2.5</v>
      </c>
      <c r="F103" t="s">
        <v>8</v>
      </c>
    </row>
    <row r="104" spans="1:6">
      <c r="A104" s="2" t="s">
        <v>203</v>
      </c>
      <c r="B104" s="3">
        <v>45957</v>
      </c>
      <c r="C104" s="8" t="s">
        <v>204</v>
      </c>
      <c r="D104" s="4">
        <v>360000</v>
      </c>
      <c r="E104">
        <f t="shared" si="1"/>
        <v>2.5</v>
      </c>
      <c r="F104" t="s">
        <v>8</v>
      </c>
    </row>
    <row r="105" spans="1:6">
      <c r="A105" s="2" t="s">
        <v>205</v>
      </c>
      <c r="B105" s="3">
        <v>45957</v>
      </c>
      <c r="C105" s="8" t="s">
        <v>206</v>
      </c>
      <c r="D105" s="4">
        <v>35000</v>
      </c>
      <c r="E105">
        <f t="shared" si="1"/>
        <v>1.5</v>
      </c>
      <c r="F105" t="s">
        <v>8</v>
      </c>
    </row>
    <row r="106" spans="1:6">
      <c r="A106" s="2" t="s">
        <v>207</v>
      </c>
      <c r="B106" s="3">
        <v>45957</v>
      </c>
      <c r="C106" s="8" t="s">
        <v>208</v>
      </c>
      <c r="D106" s="4">
        <v>45000</v>
      </c>
      <c r="E106">
        <f t="shared" si="1"/>
        <v>1.5</v>
      </c>
      <c r="F106" t="s">
        <v>8</v>
      </c>
    </row>
    <row r="107" spans="1:6">
      <c r="A107" s="2" t="s">
        <v>209</v>
      </c>
      <c r="B107" s="3">
        <v>45959</v>
      </c>
      <c r="C107" s="8" t="s">
        <v>164</v>
      </c>
      <c r="D107" s="4">
        <v>50000</v>
      </c>
      <c r="E107">
        <f t="shared" si="1"/>
        <v>1.5</v>
      </c>
      <c r="F107" t="s">
        <v>8</v>
      </c>
    </row>
    <row r="108" spans="1:6">
      <c r="A108" s="2" t="s">
        <v>210</v>
      </c>
      <c r="B108" s="3">
        <v>45959</v>
      </c>
      <c r="C108" s="8" t="s">
        <v>211</v>
      </c>
      <c r="D108" s="4">
        <v>25000</v>
      </c>
      <c r="E108">
        <f t="shared" si="1"/>
        <v>1.5</v>
      </c>
      <c r="F108" t="s">
        <v>8</v>
      </c>
    </row>
    <row r="109" spans="1:6">
      <c r="A109" s="2" t="s">
        <v>212</v>
      </c>
      <c r="B109" s="3">
        <v>45960</v>
      </c>
      <c r="C109" s="8" t="s">
        <v>213</v>
      </c>
      <c r="D109" s="4">
        <v>90000</v>
      </c>
      <c r="E109">
        <f t="shared" si="1"/>
        <v>2</v>
      </c>
      <c r="F109" t="s">
        <v>8</v>
      </c>
    </row>
    <row r="110" spans="1:6">
      <c r="A110" s="2" t="s">
        <v>214</v>
      </c>
      <c r="B110" s="3">
        <v>45962</v>
      </c>
      <c r="C110" s="8" t="s">
        <v>215</v>
      </c>
      <c r="D110" s="4">
        <v>170700</v>
      </c>
      <c r="E110">
        <f t="shared" si="1"/>
        <v>2.5</v>
      </c>
      <c r="F110" t="s">
        <v>8</v>
      </c>
    </row>
    <row r="111" spans="1:6">
      <c r="A111" s="2" t="s">
        <v>216</v>
      </c>
      <c r="B111" s="3">
        <v>45962</v>
      </c>
      <c r="C111" s="8" t="s">
        <v>217</v>
      </c>
      <c r="D111" s="4">
        <v>1000000</v>
      </c>
      <c r="E111">
        <f t="shared" si="1"/>
        <v>2.5</v>
      </c>
      <c r="F111" t="s">
        <v>8</v>
      </c>
    </row>
    <row r="112" spans="1:6">
      <c r="A112" s="2" t="s">
        <v>218</v>
      </c>
      <c r="B112" s="3">
        <v>45965</v>
      </c>
      <c r="C112" s="8" t="s">
        <v>219</v>
      </c>
      <c r="D112" s="4">
        <v>140000</v>
      </c>
      <c r="E112">
        <f t="shared" si="1"/>
        <v>2.5</v>
      </c>
      <c r="F112" t="s">
        <v>8</v>
      </c>
    </row>
    <row r="113" spans="1:6">
      <c r="A113" s="2" t="s">
        <v>220</v>
      </c>
      <c r="B113" s="3">
        <v>45966</v>
      </c>
      <c r="C113" s="8" t="s">
        <v>221</v>
      </c>
      <c r="D113" s="4">
        <v>70000</v>
      </c>
      <c r="E113">
        <f t="shared" si="1"/>
        <v>2</v>
      </c>
      <c r="F113" t="s">
        <v>8</v>
      </c>
    </row>
    <row r="114" spans="1:6">
      <c r="A114" s="2" t="s">
        <v>222</v>
      </c>
      <c r="B114" s="3">
        <v>45966</v>
      </c>
      <c r="C114" s="8" t="s">
        <v>223</v>
      </c>
      <c r="D114" s="4">
        <v>31000</v>
      </c>
      <c r="E114">
        <f t="shared" si="1"/>
        <v>1.5</v>
      </c>
      <c r="F114" t="s">
        <v>8</v>
      </c>
    </row>
    <row r="115" spans="1:6">
      <c r="A115" s="2" t="s">
        <v>224</v>
      </c>
      <c r="B115" s="3">
        <v>45971</v>
      </c>
      <c r="C115" s="8" t="s">
        <v>225</v>
      </c>
      <c r="D115" s="4">
        <v>380000</v>
      </c>
      <c r="E115">
        <f t="shared" si="1"/>
        <v>2.5</v>
      </c>
      <c r="F115" t="s">
        <v>8</v>
      </c>
    </row>
    <row r="116" spans="1:6">
      <c r="A116" s="2" t="s">
        <v>226</v>
      </c>
      <c r="B116" s="3">
        <v>45992</v>
      </c>
      <c r="C116" s="8" t="s">
        <v>227</v>
      </c>
      <c r="D116" s="4">
        <v>30000</v>
      </c>
      <c r="E116">
        <f t="shared" si="1"/>
        <v>1.5</v>
      </c>
      <c r="F116" t="s">
        <v>8</v>
      </c>
    </row>
    <row r="117" spans="1:6">
      <c r="A117" s="2" t="s">
        <v>228</v>
      </c>
      <c r="B117" s="3">
        <v>45992</v>
      </c>
      <c r="C117" s="8" t="s">
        <v>229</v>
      </c>
      <c r="D117" s="4">
        <v>30000</v>
      </c>
      <c r="E117">
        <f t="shared" si="1"/>
        <v>1.5</v>
      </c>
      <c r="F117" t="s">
        <v>8</v>
      </c>
    </row>
    <row r="118" spans="1:6">
      <c r="A118" s="2" t="s">
        <v>230</v>
      </c>
      <c r="B118" s="3">
        <v>45992</v>
      </c>
      <c r="C118" s="8" t="s">
        <v>231</v>
      </c>
      <c r="D118" s="4">
        <v>34000</v>
      </c>
      <c r="E118">
        <f t="shared" si="1"/>
        <v>1.5</v>
      </c>
      <c r="F118" t="s">
        <v>8</v>
      </c>
    </row>
    <row r="119" spans="1:6">
      <c r="A119" s="2" t="s">
        <v>232</v>
      </c>
      <c r="B119" s="3">
        <v>45994</v>
      </c>
      <c r="C119" s="8" t="s">
        <v>233</v>
      </c>
      <c r="D119" s="4">
        <v>120000</v>
      </c>
      <c r="E119">
        <f t="shared" si="1"/>
        <v>2.5</v>
      </c>
      <c r="F119" t="s">
        <v>8</v>
      </c>
    </row>
    <row r="120" spans="1:6">
      <c r="A120" s="2" t="s">
        <v>234</v>
      </c>
      <c r="B120" s="3">
        <v>45996</v>
      </c>
      <c r="C120" s="8" t="s">
        <v>235</v>
      </c>
      <c r="D120" s="4">
        <v>31000</v>
      </c>
      <c r="E120">
        <f t="shared" si="1"/>
        <v>1.5</v>
      </c>
      <c r="F120" t="s">
        <v>8</v>
      </c>
    </row>
    <row r="121" spans="1:6">
      <c r="A121" s="2" t="s">
        <v>236</v>
      </c>
      <c r="B121" s="3">
        <v>45997</v>
      </c>
      <c r="C121" s="8" t="s">
        <v>237</v>
      </c>
      <c r="D121" s="4">
        <v>50000</v>
      </c>
      <c r="E121">
        <f t="shared" si="1"/>
        <v>1.5</v>
      </c>
      <c r="F121" t="s">
        <v>8</v>
      </c>
    </row>
    <row r="122" spans="1:6">
      <c r="A122" s="2" t="s">
        <v>238</v>
      </c>
      <c r="B122" s="3">
        <v>45999</v>
      </c>
      <c r="C122" s="8" t="s">
        <v>239</v>
      </c>
      <c r="D122" s="4">
        <v>48000</v>
      </c>
      <c r="E122">
        <f t="shared" si="1"/>
        <v>1.5</v>
      </c>
      <c r="F122" t="s">
        <v>8</v>
      </c>
    </row>
    <row r="123" spans="1:6">
      <c r="A123" s="2" t="s">
        <v>240</v>
      </c>
      <c r="B123" s="3">
        <v>45999</v>
      </c>
      <c r="C123" s="8" t="s">
        <v>215</v>
      </c>
      <c r="D123" s="4">
        <v>40000</v>
      </c>
      <c r="E123">
        <f t="shared" si="1"/>
        <v>1.5</v>
      </c>
      <c r="F123" t="s">
        <v>8</v>
      </c>
    </row>
    <row r="124" spans="1:6">
      <c r="A124" s="2" t="s">
        <v>241</v>
      </c>
      <c r="B124" s="3">
        <v>46006</v>
      </c>
      <c r="C124" s="8" t="s">
        <v>242</v>
      </c>
      <c r="D124" s="4">
        <v>70000</v>
      </c>
      <c r="E124">
        <f t="shared" si="1"/>
        <v>2</v>
      </c>
      <c r="F124" t="s">
        <v>8</v>
      </c>
    </row>
    <row r="125" spans="1:6">
      <c r="A125" s="2" t="s">
        <v>243</v>
      </c>
      <c r="B125" s="3">
        <v>46007</v>
      </c>
      <c r="C125" s="8" t="s">
        <v>244</v>
      </c>
      <c r="D125" s="4">
        <v>170000</v>
      </c>
      <c r="E125">
        <f t="shared" si="1"/>
        <v>2.5</v>
      </c>
      <c r="F125" t="s">
        <v>8</v>
      </c>
    </row>
    <row r="126" spans="1:6">
      <c r="A126" s="2" t="s">
        <v>245</v>
      </c>
      <c r="B126" s="3">
        <v>45985</v>
      </c>
      <c r="C126" s="8" t="s">
        <v>217</v>
      </c>
      <c r="D126" s="4">
        <v>350000</v>
      </c>
      <c r="E126">
        <f t="shared" si="1"/>
        <v>2.5</v>
      </c>
      <c r="F126" t="s">
        <v>8</v>
      </c>
    </row>
    <row r="127" spans="1:6">
      <c r="A127" s="2" t="s">
        <v>246</v>
      </c>
      <c r="B127" s="3">
        <v>46011</v>
      </c>
      <c r="C127" s="8" t="s">
        <v>247</v>
      </c>
      <c r="D127" s="4">
        <v>32000</v>
      </c>
      <c r="E127">
        <f t="shared" si="1"/>
        <v>1.5</v>
      </c>
      <c r="F127" t="s">
        <v>8</v>
      </c>
    </row>
    <row r="128" spans="1:6">
      <c r="A128" s="2" t="s">
        <v>248</v>
      </c>
      <c r="B128" s="3">
        <v>46013</v>
      </c>
      <c r="C128" s="8" t="s">
        <v>249</v>
      </c>
      <c r="D128" s="4">
        <v>120000</v>
      </c>
      <c r="E128">
        <f t="shared" si="1"/>
        <v>2.5</v>
      </c>
      <c r="F128" t="s">
        <v>8</v>
      </c>
    </row>
    <row r="129" spans="1:6">
      <c r="A129" s="2" t="s">
        <v>250</v>
      </c>
      <c r="B129" s="3">
        <v>46014</v>
      </c>
      <c r="C129" s="8" t="s">
        <v>251</v>
      </c>
      <c r="D129" s="4">
        <v>45000</v>
      </c>
      <c r="E129">
        <f t="shared" si="1"/>
        <v>1.5</v>
      </c>
      <c r="F129" t="s">
        <v>8</v>
      </c>
    </row>
    <row r="130" spans="1:6">
      <c r="A130" s="2" t="s">
        <v>252</v>
      </c>
      <c r="B130" s="3">
        <v>46014</v>
      </c>
      <c r="C130" s="8" t="s">
        <v>253</v>
      </c>
      <c r="D130" s="4">
        <v>40000</v>
      </c>
      <c r="E130">
        <f t="shared" ref="E130:E193" si="2">IF(D130&lt;=50000,1.5,IF(D130&lt;=100000,2,2.5))</f>
        <v>1.5</v>
      </c>
      <c r="F130" t="s">
        <v>8</v>
      </c>
    </row>
    <row r="131" spans="1:6">
      <c r="A131" s="2" t="s">
        <v>254</v>
      </c>
      <c r="B131" s="3">
        <v>46016</v>
      </c>
      <c r="C131" s="8" t="s">
        <v>255</v>
      </c>
      <c r="D131" s="4">
        <v>170000</v>
      </c>
      <c r="E131">
        <f t="shared" si="2"/>
        <v>2.5</v>
      </c>
      <c r="F131" t="s">
        <v>8</v>
      </c>
    </row>
    <row r="132" spans="1:6">
      <c r="A132" s="2" t="s">
        <v>256</v>
      </c>
      <c r="B132" s="3">
        <v>46018</v>
      </c>
      <c r="C132" s="8" t="s">
        <v>257</v>
      </c>
      <c r="D132" s="4">
        <v>40000</v>
      </c>
      <c r="E132">
        <f t="shared" si="2"/>
        <v>1.5</v>
      </c>
      <c r="F132" t="s">
        <v>8</v>
      </c>
    </row>
    <row r="133" spans="1:6">
      <c r="A133" s="2" t="s">
        <v>258</v>
      </c>
      <c r="B133" s="3">
        <v>46018</v>
      </c>
      <c r="C133" s="8" t="s">
        <v>259</v>
      </c>
      <c r="D133" s="4">
        <v>190000</v>
      </c>
      <c r="E133">
        <f t="shared" si="2"/>
        <v>2.5</v>
      </c>
      <c r="F133" t="s">
        <v>8</v>
      </c>
    </row>
    <row r="134" spans="1:6">
      <c r="A134" s="2" t="s">
        <v>260</v>
      </c>
      <c r="B134" s="3">
        <v>46028</v>
      </c>
      <c r="C134" s="8" t="s">
        <v>261</v>
      </c>
      <c r="D134" s="4">
        <v>80000</v>
      </c>
      <c r="E134">
        <f t="shared" si="2"/>
        <v>2</v>
      </c>
      <c r="F134" t="s">
        <v>8</v>
      </c>
    </row>
    <row r="135" spans="1:6">
      <c r="A135" s="2" t="s">
        <v>262</v>
      </c>
      <c r="B135" s="3">
        <v>46029</v>
      </c>
      <c r="C135" s="8" t="s">
        <v>263</v>
      </c>
      <c r="D135" s="4">
        <v>30000</v>
      </c>
      <c r="E135">
        <f t="shared" si="2"/>
        <v>1.5</v>
      </c>
      <c r="F135" t="s">
        <v>8</v>
      </c>
    </row>
    <row r="136" spans="1:6">
      <c r="A136" s="2" t="s">
        <v>264</v>
      </c>
      <c r="B136" s="3">
        <v>46029</v>
      </c>
      <c r="C136" s="8" t="s">
        <v>265</v>
      </c>
      <c r="D136" s="4">
        <v>65000</v>
      </c>
      <c r="E136">
        <f t="shared" si="2"/>
        <v>2</v>
      </c>
      <c r="F136" t="s">
        <v>8</v>
      </c>
    </row>
    <row r="137" spans="1:6">
      <c r="A137" s="2" t="s">
        <v>266</v>
      </c>
      <c r="B137" s="3">
        <v>46030</v>
      </c>
      <c r="C137" s="8" t="s">
        <v>267</v>
      </c>
      <c r="D137" s="4">
        <v>100000</v>
      </c>
      <c r="E137">
        <f t="shared" si="2"/>
        <v>2</v>
      </c>
      <c r="F137" t="s">
        <v>8</v>
      </c>
    </row>
    <row r="138" spans="1:6">
      <c r="A138" s="2" t="s">
        <v>268</v>
      </c>
      <c r="B138" s="3">
        <v>46030</v>
      </c>
      <c r="C138" s="8" t="s">
        <v>269</v>
      </c>
      <c r="D138" s="4">
        <v>100000</v>
      </c>
      <c r="E138">
        <f t="shared" si="2"/>
        <v>2</v>
      </c>
      <c r="F138" t="s">
        <v>8</v>
      </c>
    </row>
    <row r="139" spans="1:6">
      <c r="A139" s="2" t="s">
        <v>270</v>
      </c>
      <c r="B139" s="3">
        <v>46030</v>
      </c>
      <c r="C139" s="8" t="s">
        <v>271</v>
      </c>
      <c r="D139" s="4">
        <v>40000</v>
      </c>
      <c r="E139">
        <f t="shared" si="2"/>
        <v>1.5</v>
      </c>
      <c r="F139" t="s">
        <v>8</v>
      </c>
    </row>
    <row r="140" spans="1:6">
      <c r="A140" s="2" t="s">
        <v>272</v>
      </c>
      <c r="B140" s="3">
        <v>46030</v>
      </c>
      <c r="C140" s="8" t="s">
        <v>273</v>
      </c>
      <c r="D140" s="4">
        <v>20000</v>
      </c>
      <c r="E140">
        <f t="shared" si="2"/>
        <v>1.5</v>
      </c>
      <c r="F140" t="s">
        <v>8</v>
      </c>
    </row>
    <row r="141" spans="1:6">
      <c r="A141" s="2" t="s">
        <v>274</v>
      </c>
      <c r="B141" s="3">
        <v>46030</v>
      </c>
      <c r="C141" s="8" t="s">
        <v>267</v>
      </c>
      <c r="D141" s="4">
        <v>50000</v>
      </c>
      <c r="E141">
        <f t="shared" si="2"/>
        <v>1.5</v>
      </c>
      <c r="F141" t="s">
        <v>8</v>
      </c>
    </row>
    <row r="142" spans="1:6">
      <c r="A142" s="2" t="s">
        <v>275</v>
      </c>
      <c r="B142" s="3">
        <v>46030</v>
      </c>
      <c r="C142" s="8" t="s">
        <v>276</v>
      </c>
      <c r="D142" s="4">
        <v>45000</v>
      </c>
      <c r="E142">
        <f t="shared" si="2"/>
        <v>1.5</v>
      </c>
      <c r="F142" t="s">
        <v>8</v>
      </c>
    </row>
    <row r="143" spans="1:6">
      <c r="A143" s="2" t="s">
        <v>277</v>
      </c>
      <c r="B143" s="3">
        <v>46030</v>
      </c>
      <c r="C143" s="8" t="s">
        <v>278</v>
      </c>
      <c r="D143" s="4">
        <v>50000</v>
      </c>
      <c r="E143">
        <f t="shared" si="2"/>
        <v>1.5</v>
      </c>
      <c r="F143" t="s">
        <v>8</v>
      </c>
    </row>
    <row r="144" spans="1:6">
      <c r="A144" s="2" t="s">
        <v>279</v>
      </c>
      <c r="B144" s="3">
        <v>46043</v>
      </c>
      <c r="C144" s="8" t="s">
        <v>280</v>
      </c>
      <c r="D144" s="4">
        <v>119000</v>
      </c>
      <c r="E144">
        <f t="shared" si="2"/>
        <v>2.5</v>
      </c>
      <c r="F144" t="s">
        <v>8</v>
      </c>
    </row>
    <row r="145" spans="1:6">
      <c r="A145" s="2" t="s">
        <v>281</v>
      </c>
      <c r="B145" s="3">
        <v>46044</v>
      </c>
      <c r="C145" s="8" t="s">
        <v>282</v>
      </c>
      <c r="D145" s="4">
        <v>45000</v>
      </c>
      <c r="E145">
        <f t="shared" si="2"/>
        <v>1.5</v>
      </c>
      <c r="F145" t="s">
        <v>8</v>
      </c>
    </row>
    <row r="146" spans="1:6">
      <c r="A146" s="2" t="s">
        <v>283</v>
      </c>
      <c r="B146" s="3">
        <v>46044</v>
      </c>
      <c r="C146" s="8" t="s">
        <v>284</v>
      </c>
      <c r="D146" s="4">
        <v>89000</v>
      </c>
      <c r="E146">
        <f t="shared" si="2"/>
        <v>2</v>
      </c>
      <c r="F146" t="s">
        <v>8</v>
      </c>
    </row>
    <row r="147" spans="1:6">
      <c r="A147" s="2" t="s">
        <v>285</v>
      </c>
      <c r="B147" s="3">
        <v>46044</v>
      </c>
      <c r="C147" s="8" t="s">
        <v>286</v>
      </c>
      <c r="D147" s="4">
        <v>93000</v>
      </c>
      <c r="E147">
        <f t="shared" si="2"/>
        <v>2</v>
      </c>
      <c r="F147" t="s">
        <v>8</v>
      </c>
    </row>
    <row r="148" spans="1:6">
      <c r="A148" s="2" t="s">
        <v>287</v>
      </c>
      <c r="B148" s="3">
        <v>46045</v>
      </c>
      <c r="C148" s="8" t="s">
        <v>288</v>
      </c>
      <c r="D148" s="4">
        <v>100000</v>
      </c>
      <c r="E148">
        <f t="shared" si="2"/>
        <v>2</v>
      </c>
      <c r="F148" t="s">
        <v>8</v>
      </c>
    </row>
    <row r="149" spans="1:6">
      <c r="A149" s="2" t="s">
        <v>289</v>
      </c>
      <c r="B149" s="3">
        <v>46045</v>
      </c>
      <c r="C149" s="8" t="s">
        <v>290</v>
      </c>
      <c r="D149" s="4">
        <v>240000</v>
      </c>
      <c r="E149">
        <f t="shared" si="2"/>
        <v>2.5</v>
      </c>
      <c r="F149" t="s">
        <v>8</v>
      </c>
    </row>
    <row r="150" spans="1:6">
      <c r="A150" s="2" t="s">
        <v>291</v>
      </c>
      <c r="B150" s="3">
        <v>46045</v>
      </c>
      <c r="C150" s="8" t="s">
        <v>288</v>
      </c>
      <c r="D150" s="4">
        <v>297000</v>
      </c>
      <c r="E150">
        <f t="shared" si="2"/>
        <v>2.5</v>
      </c>
      <c r="F150" t="s">
        <v>8</v>
      </c>
    </row>
    <row r="151" spans="1:6">
      <c r="A151" s="2" t="s">
        <v>292</v>
      </c>
      <c r="B151" s="3">
        <v>46045</v>
      </c>
      <c r="C151" s="8" t="s">
        <v>293</v>
      </c>
      <c r="D151" s="4">
        <v>50000</v>
      </c>
      <c r="E151">
        <f t="shared" si="2"/>
        <v>1.5</v>
      </c>
      <c r="F151" t="s">
        <v>8</v>
      </c>
    </row>
    <row r="152" spans="1:6">
      <c r="A152" s="2" t="s">
        <v>294</v>
      </c>
      <c r="B152" s="3">
        <v>46046</v>
      </c>
      <c r="C152" s="8" t="s">
        <v>295</v>
      </c>
      <c r="D152" s="4">
        <v>30000</v>
      </c>
      <c r="E152">
        <f t="shared" si="2"/>
        <v>1.5</v>
      </c>
      <c r="F152" t="s">
        <v>8</v>
      </c>
    </row>
    <row r="153" spans="1:6">
      <c r="A153" s="2" t="s">
        <v>296</v>
      </c>
      <c r="B153" s="3">
        <v>46046</v>
      </c>
      <c r="C153" s="8" t="s">
        <v>259</v>
      </c>
      <c r="D153" s="4">
        <v>72000</v>
      </c>
      <c r="E153">
        <f t="shared" si="2"/>
        <v>2</v>
      </c>
      <c r="F153" t="s">
        <v>8</v>
      </c>
    </row>
    <row r="154" spans="1:6">
      <c r="A154" s="2" t="s">
        <v>297</v>
      </c>
      <c r="B154" s="3">
        <v>46046</v>
      </c>
      <c r="C154" s="8" t="s">
        <v>133</v>
      </c>
      <c r="D154" s="4">
        <v>40000</v>
      </c>
      <c r="E154">
        <f t="shared" si="2"/>
        <v>1.5</v>
      </c>
      <c r="F154" t="s">
        <v>8</v>
      </c>
    </row>
    <row r="155" spans="1:6">
      <c r="A155" s="2" t="s">
        <v>298</v>
      </c>
      <c r="B155" s="3">
        <v>46046</v>
      </c>
      <c r="C155" s="8" t="s">
        <v>299</v>
      </c>
      <c r="D155" s="4">
        <v>30000</v>
      </c>
      <c r="E155">
        <f t="shared" si="2"/>
        <v>1.5</v>
      </c>
      <c r="F155" t="s">
        <v>8</v>
      </c>
    </row>
    <row r="156" spans="1:6">
      <c r="A156" s="2" t="s">
        <v>300</v>
      </c>
      <c r="B156" s="3">
        <v>46046</v>
      </c>
      <c r="C156" s="8" t="s">
        <v>301</v>
      </c>
      <c r="D156" s="4">
        <v>50000</v>
      </c>
      <c r="E156">
        <f t="shared" si="2"/>
        <v>1.5</v>
      </c>
      <c r="F156" t="s">
        <v>8</v>
      </c>
    </row>
    <row r="157" spans="1:6">
      <c r="A157" s="2" t="s">
        <v>302</v>
      </c>
      <c r="B157" s="3">
        <v>46046</v>
      </c>
      <c r="C157" s="8" t="s">
        <v>303</v>
      </c>
      <c r="D157" s="4">
        <v>200000</v>
      </c>
      <c r="E157">
        <f t="shared" si="2"/>
        <v>2.5</v>
      </c>
      <c r="F157" t="s">
        <v>8</v>
      </c>
    </row>
    <row r="158" spans="1:6">
      <c r="A158" s="2" t="s">
        <v>304</v>
      </c>
      <c r="B158" s="3">
        <v>46048</v>
      </c>
      <c r="C158" s="8" t="s">
        <v>305</v>
      </c>
      <c r="D158" s="4">
        <v>299400</v>
      </c>
      <c r="E158">
        <f t="shared" si="2"/>
        <v>2.5</v>
      </c>
      <c r="F158" t="s">
        <v>8</v>
      </c>
    </row>
    <row r="159" spans="1:6">
      <c r="A159" s="2" t="s">
        <v>306</v>
      </c>
      <c r="B159" s="3">
        <v>46049</v>
      </c>
      <c r="C159" s="8" t="s">
        <v>307</v>
      </c>
      <c r="D159" s="4">
        <v>112000</v>
      </c>
      <c r="E159">
        <f t="shared" si="2"/>
        <v>2.5</v>
      </c>
      <c r="F159" t="s">
        <v>8</v>
      </c>
    </row>
    <row r="160" spans="1:6">
      <c r="A160" s="2" t="s">
        <v>308</v>
      </c>
      <c r="B160" s="3">
        <v>46050</v>
      </c>
      <c r="C160" s="8" t="s">
        <v>309</v>
      </c>
      <c r="D160" s="4">
        <v>20000</v>
      </c>
      <c r="E160">
        <f t="shared" si="2"/>
        <v>1.5</v>
      </c>
      <c r="F160" t="s">
        <v>8</v>
      </c>
    </row>
    <row r="161" spans="1:6">
      <c r="A161" s="2" t="s">
        <v>310</v>
      </c>
      <c r="B161" s="3">
        <v>46050</v>
      </c>
      <c r="C161" s="8" t="s">
        <v>311</v>
      </c>
      <c r="D161" s="4">
        <v>26000</v>
      </c>
      <c r="E161">
        <f t="shared" si="2"/>
        <v>1.5</v>
      </c>
      <c r="F161" t="s">
        <v>8</v>
      </c>
    </row>
    <row r="162" spans="1:6">
      <c r="A162" s="2" t="s">
        <v>312</v>
      </c>
      <c r="B162" s="3">
        <v>46051</v>
      </c>
      <c r="C162" s="8" t="s">
        <v>313</v>
      </c>
      <c r="D162" s="4">
        <v>180000</v>
      </c>
      <c r="E162">
        <f t="shared" si="2"/>
        <v>2.5</v>
      </c>
      <c r="F162" t="s">
        <v>8</v>
      </c>
    </row>
    <row r="163" spans="1:6">
      <c r="A163" s="2" t="s">
        <v>314</v>
      </c>
      <c r="B163" s="3">
        <v>46053</v>
      </c>
      <c r="C163" s="8" t="s">
        <v>315</v>
      </c>
      <c r="D163" s="4">
        <v>83100</v>
      </c>
      <c r="E163">
        <f t="shared" si="2"/>
        <v>2</v>
      </c>
      <c r="F163" t="s">
        <v>8</v>
      </c>
    </row>
    <row r="164" spans="1:6">
      <c r="A164" s="2" t="s">
        <v>316</v>
      </c>
      <c r="B164" s="3">
        <v>46055</v>
      </c>
      <c r="C164" s="8" t="s">
        <v>317</v>
      </c>
      <c r="D164" s="4">
        <v>154000</v>
      </c>
      <c r="E164">
        <f t="shared" si="2"/>
        <v>2.5</v>
      </c>
      <c r="F164" t="s">
        <v>8</v>
      </c>
    </row>
    <row r="165" spans="1:6">
      <c r="A165" s="2" t="s">
        <v>318</v>
      </c>
      <c r="B165" s="3">
        <v>46062</v>
      </c>
      <c r="C165" s="8" t="s">
        <v>319</v>
      </c>
      <c r="D165" s="4">
        <v>210000</v>
      </c>
      <c r="E165">
        <f t="shared" si="2"/>
        <v>2.5</v>
      </c>
      <c r="F165" t="s">
        <v>8</v>
      </c>
    </row>
    <row r="166" spans="1:6">
      <c r="A166" s="2" t="s">
        <v>320</v>
      </c>
      <c r="B166" s="3">
        <v>46064</v>
      </c>
      <c r="C166" s="8" t="s">
        <v>321</v>
      </c>
      <c r="D166" s="4">
        <v>190000</v>
      </c>
      <c r="E166">
        <f t="shared" si="2"/>
        <v>2.5</v>
      </c>
      <c r="F166" t="s">
        <v>8</v>
      </c>
    </row>
    <row r="167" spans="1:6">
      <c r="A167" s="2" t="s">
        <v>322</v>
      </c>
      <c r="B167" s="3">
        <v>46064</v>
      </c>
      <c r="C167" s="8" t="s">
        <v>323</v>
      </c>
      <c r="D167" s="4">
        <v>318000</v>
      </c>
      <c r="E167">
        <f t="shared" si="2"/>
        <v>2.5</v>
      </c>
      <c r="F167" t="s">
        <v>8</v>
      </c>
    </row>
    <row r="168" spans="1:6">
      <c r="A168" s="2" t="s">
        <v>324</v>
      </c>
      <c r="B168" s="3">
        <v>46064</v>
      </c>
      <c r="C168" s="8" t="s">
        <v>325</v>
      </c>
      <c r="D168" s="4">
        <v>60000</v>
      </c>
      <c r="E168">
        <f t="shared" si="2"/>
        <v>2</v>
      </c>
      <c r="F168" t="s">
        <v>8</v>
      </c>
    </row>
    <row r="169" spans="1:6">
      <c r="A169" s="2" t="s">
        <v>326</v>
      </c>
      <c r="B169" s="3">
        <v>46067</v>
      </c>
      <c r="C169" s="8" t="s">
        <v>327</v>
      </c>
      <c r="D169" s="4">
        <v>420000</v>
      </c>
      <c r="E169">
        <f t="shared" si="2"/>
        <v>2.5</v>
      </c>
      <c r="F169" t="s">
        <v>8</v>
      </c>
    </row>
    <row r="170" spans="1:6">
      <c r="A170" s="2" t="s">
        <v>328</v>
      </c>
      <c r="B170" s="3">
        <v>46069</v>
      </c>
      <c r="C170" s="8" t="s">
        <v>329</v>
      </c>
      <c r="D170" s="4">
        <v>125000</v>
      </c>
      <c r="E170">
        <f t="shared" si="2"/>
        <v>2.5</v>
      </c>
      <c r="F170" t="s">
        <v>8</v>
      </c>
    </row>
    <row r="171" spans="1:6">
      <c r="A171" s="2" t="s">
        <v>330</v>
      </c>
      <c r="B171" s="3">
        <v>46071</v>
      </c>
      <c r="C171" s="8" t="s">
        <v>239</v>
      </c>
      <c r="D171" s="4">
        <v>160000</v>
      </c>
      <c r="E171">
        <f t="shared" si="2"/>
        <v>2.5</v>
      </c>
      <c r="F171" t="s">
        <v>8</v>
      </c>
    </row>
    <row r="172" spans="1:6">
      <c r="A172" s="2" t="s">
        <v>331</v>
      </c>
      <c r="B172" s="3">
        <v>46071</v>
      </c>
      <c r="C172" s="8" t="s">
        <v>332</v>
      </c>
      <c r="D172" s="4">
        <v>40000</v>
      </c>
      <c r="E172">
        <f t="shared" si="2"/>
        <v>1.5</v>
      </c>
      <c r="F172" t="s">
        <v>8</v>
      </c>
    </row>
    <row r="173" spans="1:6">
      <c r="A173" s="2" t="s">
        <v>333</v>
      </c>
      <c r="B173" s="3">
        <v>46071</v>
      </c>
      <c r="C173" s="8" t="s">
        <v>93</v>
      </c>
      <c r="D173" s="4">
        <v>75000</v>
      </c>
      <c r="E173">
        <f t="shared" si="2"/>
        <v>2</v>
      </c>
      <c r="F173" t="s">
        <v>8</v>
      </c>
    </row>
    <row r="174" spans="1:6">
      <c r="A174" s="2" t="s">
        <v>334</v>
      </c>
      <c r="B174" s="3">
        <v>46076</v>
      </c>
      <c r="C174" s="8" t="s">
        <v>335</v>
      </c>
      <c r="D174" s="4">
        <v>172375</v>
      </c>
      <c r="E174">
        <f t="shared" si="2"/>
        <v>2.5</v>
      </c>
      <c r="F174" t="s">
        <v>8</v>
      </c>
    </row>
    <row r="175" spans="1:6">
      <c r="A175" s="2" t="s">
        <v>336</v>
      </c>
      <c r="B175" s="3">
        <v>46079</v>
      </c>
      <c r="C175" s="8" t="s">
        <v>337</v>
      </c>
      <c r="D175" s="4">
        <v>309000</v>
      </c>
      <c r="E175">
        <f t="shared" si="2"/>
        <v>2.5</v>
      </c>
      <c r="F175" t="s">
        <v>8</v>
      </c>
    </row>
    <row r="176" spans="1:6">
      <c r="A176" s="2" t="s">
        <v>338</v>
      </c>
      <c r="B176" s="3">
        <v>46086</v>
      </c>
      <c r="C176" s="8" t="s">
        <v>339</v>
      </c>
      <c r="D176" s="4">
        <v>120000</v>
      </c>
      <c r="E176">
        <f t="shared" si="2"/>
        <v>2.5</v>
      </c>
      <c r="F176" t="s">
        <v>8</v>
      </c>
    </row>
    <row r="177" spans="1:6">
      <c r="A177" s="2" t="s">
        <v>340</v>
      </c>
      <c r="B177" s="3">
        <v>46087</v>
      </c>
      <c r="C177" s="8" t="s">
        <v>341</v>
      </c>
      <c r="D177" s="4">
        <v>140000</v>
      </c>
      <c r="E177">
        <f t="shared" si="2"/>
        <v>2.5</v>
      </c>
      <c r="F177" t="s">
        <v>8</v>
      </c>
    </row>
    <row r="178" spans="1:6">
      <c r="A178" s="2" t="s">
        <v>342</v>
      </c>
      <c r="B178" s="3">
        <v>46087</v>
      </c>
      <c r="C178" s="8" t="s">
        <v>343</v>
      </c>
      <c r="D178" s="4">
        <v>210000</v>
      </c>
      <c r="E178">
        <f t="shared" si="2"/>
        <v>2.5</v>
      </c>
      <c r="F178" t="s">
        <v>8</v>
      </c>
    </row>
    <row r="179" spans="1:6">
      <c r="A179" s="2" t="s">
        <v>344</v>
      </c>
      <c r="B179" s="3">
        <v>46087</v>
      </c>
      <c r="C179" s="8" t="s">
        <v>345</v>
      </c>
      <c r="D179" s="4">
        <v>196000</v>
      </c>
      <c r="E179">
        <f t="shared" si="2"/>
        <v>2.5</v>
      </c>
      <c r="F179" t="s">
        <v>8</v>
      </c>
    </row>
    <row r="180" spans="1:6">
      <c r="A180" s="2" t="s">
        <v>346</v>
      </c>
      <c r="B180" s="3">
        <v>46088</v>
      </c>
      <c r="C180" s="8" t="s">
        <v>347</v>
      </c>
      <c r="D180" s="4">
        <v>28000</v>
      </c>
      <c r="E180">
        <f t="shared" si="2"/>
        <v>1.5</v>
      </c>
      <c r="F180" t="s">
        <v>8</v>
      </c>
    </row>
    <row r="181" spans="1:6">
      <c r="A181" s="2" t="s">
        <v>348</v>
      </c>
      <c r="B181" s="3">
        <v>46088</v>
      </c>
      <c r="C181" s="8" t="s">
        <v>349</v>
      </c>
      <c r="D181" s="4">
        <v>72000</v>
      </c>
      <c r="E181">
        <f t="shared" si="2"/>
        <v>2</v>
      </c>
      <c r="F181" t="s">
        <v>8</v>
      </c>
    </row>
    <row r="182" spans="1:6">
      <c r="A182" s="2" t="s">
        <v>350</v>
      </c>
      <c r="B182" s="3">
        <v>46088</v>
      </c>
      <c r="C182" s="8" t="s">
        <v>347</v>
      </c>
      <c r="D182" s="4">
        <v>22000</v>
      </c>
      <c r="E182">
        <f t="shared" si="2"/>
        <v>1.5</v>
      </c>
      <c r="F182" t="s">
        <v>8</v>
      </c>
    </row>
    <row r="183" spans="1:6">
      <c r="A183" s="2" t="s">
        <v>351</v>
      </c>
      <c r="B183" s="3">
        <v>46088</v>
      </c>
      <c r="C183" s="8" t="s">
        <v>352</v>
      </c>
      <c r="D183" s="4">
        <v>20000</v>
      </c>
      <c r="E183">
        <f t="shared" si="2"/>
        <v>1.5</v>
      </c>
      <c r="F183" t="s">
        <v>8</v>
      </c>
    </row>
    <row r="184" spans="1:6">
      <c r="A184" s="2" t="s">
        <v>353</v>
      </c>
      <c r="B184" s="3">
        <v>46090</v>
      </c>
      <c r="C184" s="8" t="s">
        <v>280</v>
      </c>
      <c r="D184" s="4">
        <v>30000</v>
      </c>
      <c r="E184">
        <f t="shared" si="2"/>
        <v>1.5</v>
      </c>
      <c r="F184" t="s">
        <v>8</v>
      </c>
    </row>
    <row r="185" spans="1:6">
      <c r="A185" s="2" t="s">
        <v>354</v>
      </c>
      <c r="B185" s="3">
        <v>46090</v>
      </c>
      <c r="C185" s="8" t="s">
        <v>355</v>
      </c>
      <c r="D185" s="4">
        <v>25000</v>
      </c>
      <c r="E185">
        <f t="shared" si="2"/>
        <v>1.5</v>
      </c>
      <c r="F185" t="s">
        <v>8</v>
      </c>
    </row>
    <row r="186" spans="1:6">
      <c r="A186" s="2" t="s">
        <v>356</v>
      </c>
      <c r="B186" s="3">
        <v>46090</v>
      </c>
      <c r="C186" s="8" t="s">
        <v>190</v>
      </c>
      <c r="D186" s="4">
        <v>60000</v>
      </c>
      <c r="E186">
        <f t="shared" si="2"/>
        <v>2</v>
      </c>
      <c r="F186" t="s">
        <v>8</v>
      </c>
    </row>
    <row r="187" spans="1:6">
      <c r="A187" s="2" t="s">
        <v>357</v>
      </c>
      <c r="B187" s="3">
        <v>46090</v>
      </c>
      <c r="C187" s="8" t="s">
        <v>358</v>
      </c>
      <c r="D187" s="4">
        <v>100000</v>
      </c>
      <c r="E187">
        <f t="shared" si="2"/>
        <v>2</v>
      </c>
      <c r="F187" t="s">
        <v>8</v>
      </c>
    </row>
    <row r="188" spans="1:6">
      <c r="A188" s="2" t="s">
        <v>359</v>
      </c>
      <c r="B188" s="3">
        <v>46090</v>
      </c>
      <c r="C188" s="8" t="s">
        <v>360</v>
      </c>
      <c r="D188" s="4">
        <v>35000</v>
      </c>
      <c r="E188">
        <f t="shared" si="2"/>
        <v>1.5</v>
      </c>
      <c r="F188" t="s">
        <v>8</v>
      </c>
    </row>
    <row r="189" spans="1:6">
      <c r="A189" s="2" t="s">
        <v>361</v>
      </c>
      <c r="B189" s="3">
        <v>46090</v>
      </c>
      <c r="C189" s="8" t="s">
        <v>362</v>
      </c>
      <c r="D189" s="4">
        <v>50000</v>
      </c>
      <c r="E189">
        <f t="shared" si="2"/>
        <v>1.5</v>
      </c>
      <c r="F189" t="s">
        <v>8</v>
      </c>
    </row>
    <row r="190" spans="1:6">
      <c r="A190" s="2" t="s">
        <v>363</v>
      </c>
      <c r="B190" s="3">
        <v>46091</v>
      </c>
      <c r="C190" s="8" t="s">
        <v>133</v>
      </c>
      <c r="D190" s="4">
        <v>25000</v>
      </c>
      <c r="E190">
        <f t="shared" si="2"/>
        <v>1.5</v>
      </c>
      <c r="F190" t="s">
        <v>8</v>
      </c>
    </row>
    <row r="191" spans="1:6">
      <c r="A191" s="2" t="s">
        <v>364</v>
      </c>
      <c r="B191" s="3">
        <v>46092</v>
      </c>
      <c r="C191" s="8" t="s">
        <v>365</v>
      </c>
      <c r="D191" s="4">
        <v>125000</v>
      </c>
      <c r="E191">
        <f t="shared" si="2"/>
        <v>2.5</v>
      </c>
      <c r="F191" t="s">
        <v>8</v>
      </c>
    </row>
    <row r="192" spans="1:6">
      <c r="A192" s="2" t="s">
        <v>366</v>
      </c>
      <c r="B192" s="3">
        <v>46092</v>
      </c>
      <c r="C192" s="8" t="s">
        <v>367</v>
      </c>
      <c r="D192" s="4">
        <v>280000</v>
      </c>
      <c r="E192">
        <f t="shared" si="2"/>
        <v>2.5</v>
      </c>
      <c r="F192" t="s">
        <v>8</v>
      </c>
    </row>
    <row r="193" spans="1:6">
      <c r="A193" s="2" t="s">
        <v>368</v>
      </c>
      <c r="B193" s="3">
        <v>46092</v>
      </c>
      <c r="C193" s="8" t="s">
        <v>365</v>
      </c>
      <c r="D193" s="4">
        <v>70000</v>
      </c>
      <c r="E193">
        <f t="shared" si="2"/>
        <v>2</v>
      </c>
      <c r="F193" t="s">
        <v>8</v>
      </c>
    </row>
    <row r="194" spans="1:6">
      <c r="A194" s="2" t="s">
        <v>369</v>
      </c>
      <c r="B194" s="3">
        <v>46093</v>
      </c>
      <c r="C194" s="8" t="s">
        <v>370</v>
      </c>
      <c r="D194" s="4">
        <v>180600</v>
      </c>
      <c r="E194">
        <f t="shared" ref="E194:E257" si="3">IF(D194&lt;=50000,1.5,IF(D194&lt;=100000,2,2.5))</f>
        <v>2.5</v>
      </c>
      <c r="F194" t="s">
        <v>8</v>
      </c>
    </row>
    <row r="195" spans="1:6">
      <c r="A195" s="2" t="s">
        <v>371</v>
      </c>
      <c r="B195" s="3">
        <v>46093</v>
      </c>
      <c r="C195" s="8" t="s">
        <v>339</v>
      </c>
      <c r="D195" s="4">
        <v>237000</v>
      </c>
      <c r="E195">
        <f t="shared" si="3"/>
        <v>2.5</v>
      </c>
      <c r="F195" t="s">
        <v>8</v>
      </c>
    </row>
    <row r="196" spans="1:6">
      <c r="A196" s="2" t="s">
        <v>372</v>
      </c>
      <c r="B196" s="3">
        <v>46092</v>
      </c>
      <c r="C196" s="8" t="s">
        <v>373</v>
      </c>
      <c r="D196" s="4">
        <v>127000</v>
      </c>
      <c r="E196">
        <f t="shared" si="3"/>
        <v>2.5</v>
      </c>
      <c r="F196" t="s">
        <v>8</v>
      </c>
    </row>
    <row r="197" spans="1:6">
      <c r="A197" s="2" t="s">
        <v>374</v>
      </c>
      <c r="B197" s="3">
        <v>46099</v>
      </c>
      <c r="C197" s="8" t="s">
        <v>375</v>
      </c>
      <c r="D197" s="4">
        <v>50000</v>
      </c>
      <c r="E197">
        <f t="shared" si="3"/>
        <v>1.5</v>
      </c>
      <c r="F197" t="s">
        <v>8</v>
      </c>
    </row>
    <row r="198" spans="1:6">
      <c r="A198" s="2" t="s">
        <v>376</v>
      </c>
      <c r="B198" s="3">
        <v>46101</v>
      </c>
      <c r="C198" s="8" t="s">
        <v>377</v>
      </c>
      <c r="D198" s="4">
        <v>140000</v>
      </c>
      <c r="E198">
        <f t="shared" si="3"/>
        <v>2.5</v>
      </c>
      <c r="F198" t="s">
        <v>8</v>
      </c>
    </row>
    <row r="199" spans="1:6">
      <c r="A199" s="2" t="s">
        <v>378</v>
      </c>
      <c r="B199" s="3">
        <v>46101</v>
      </c>
      <c r="C199" s="8" t="s">
        <v>379</v>
      </c>
      <c r="D199" s="4">
        <v>155000</v>
      </c>
      <c r="E199">
        <f t="shared" si="3"/>
        <v>2.5</v>
      </c>
      <c r="F199" t="s">
        <v>8</v>
      </c>
    </row>
    <row r="200" spans="1:6">
      <c r="A200" s="2" t="s">
        <v>380</v>
      </c>
      <c r="B200" s="3">
        <v>46102</v>
      </c>
      <c r="C200" s="8" t="s">
        <v>295</v>
      </c>
      <c r="D200" s="4">
        <v>30000</v>
      </c>
      <c r="E200">
        <f t="shared" si="3"/>
        <v>1.5</v>
      </c>
      <c r="F200" t="s">
        <v>8</v>
      </c>
    </row>
    <row r="201" spans="1:6">
      <c r="A201" s="2" t="s">
        <v>381</v>
      </c>
      <c r="B201" s="3">
        <v>46102</v>
      </c>
      <c r="C201" s="8" t="s">
        <v>382</v>
      </c>
      <c r="D201" s="4">
        <v>200000</v>
      </c>
      <c r="E201">
        <f t="shared" si="3"/>
        <v>2.5</v>
      </c>
      <c r="F201" t="s">
        <v>8</v>
      </c>
    </row>
    <row r="202" spans="1:6">
      <c r="A202" s="2" t="s">
        <v>383</v>
      </c>
      <c r="B202" s="3">
        <v>46104</v>
      </c>
      <c r="C202" s="8" t="s">
        <v>293</v>
      </c>
      <c r="D202" s="4">
        <v>35000</v>
      </c>
      <c r="E202">
        <f t="shared" si="3"/>
        <v>1.5</v>
      </c>
      <c r="F202" t="s">
        <v>8</v>
      </c>
    </row>
    <row r="203" spans="1:6">
      <c r="A203" s="2" t="s">
        <v>384</v>
      </c>
      <c r="B203" s="3">
        <v>46104</v>
      </c>
      <c r="C203" s="8" t="s">
        <v>385</v>
      </c>
      <c r="D203" s="4">
        <v>159150</v>
      </c>
      <c r="E203">
        <f t="shared" si="3"/>
        <v>2.5</v>
      </c>
      <c r="F203" t="s">
        <v>8</v>
      </c>
    </row>
    <row r="204" spans="1:6">
      <c r="A204" s="2" t="s">
        <v>386</v>
      </c>
      <c r="B204" s="3">
        <v>46104</v>
      </c>
      <c r="C204" s="8" t="s">
        <v>387</v>
      </c>
      <c r="D204" s="4">
        <v>30000</v>
      </c>
      <c r="E204">
        <f t="shared" si="3"/>
        <v>1.5</v>
      </c>
      <c r="F204" t="s">
        <v>8</v>
      </c>
    </row>
    <row r="205" spans="1:6">
      <c r="A205" s="2" t="s">
        <v>388</v>
      </c>
      <c r="B205" s="3">
        <v>46106</v>
      </c>
      <c r="C205" s="8" t="s">
        <v>389</v>
      </c>
      <c r="D205" s="4">
        <v>120000</v>
      </c>
      <c r="E205">
        <f t="shared" si="3"/>
        <v>2.5</v>
      </c>
      <c r="F205" t="s">
        <v>8</v>
      </c>
    </row>
    <row r="206" spans="1:6">
      <c r="A206" s="2" t="s">
        <v>390</v>
      </c>
      <c r="B206" s="3">
        <v>46107</v>
      </c>
      <c r="C206" s="8" t="s">
        <v>391</v>
      </c>
      <c r="D206" s="4">
        <v>30000</v>
      </c>
      <c r="E206">
        <f t="shared" si="3"/>
        <v>1.5</v>
      </c>
      <c r="F206" t="s">
        <v>8</v>
      </c>
    </row>
    <row r="207" spans="1:6">
      <c r="A207" s="2" t="s">
        <v>392</v>
      </c>
      <c r="B207" s="3">
        <v>46107</v>
      </c>
      <c r="C207" s="8" t="s">
        <v>393</v>
      </c>
      <c r="D207" s="4">
        <v>122300</v>
      </c>
      <c r="E207">
        <f t="shared" si="3"/>
        <v>2.5</v>
      </c>
      <c r="F207" t="s">
        <v>8</v>
      </c>
    </row>
    <row r="208" spans="1:6">
      <c r="A208" s="2" t="s">
        <v>394</v>
      </c>
      <c r="B208" s="3">
        <v>46112</v>
      </c>
      <c r="C208" s="8" t="s">
        <v>395</v>
      </c>
      <c r="D208" s="4">
        <v>250000</v>
      </c>
      <c r="E208">
        <f t="shared" si="3"/>
        <v>2.5</v>
      </c>
      <c r="F208" t="s">
        <v>8</v>
      </c>
    </row>
    <row r="209" spans="1:6">
      <c r="A209" s="2" t="s">
        <v>396</v>
      </c>
      <c r="B209" s="3">
        <v>46095</v>
      </c>
      <c r="C209" s="8" t="s">
        <v>71</v>
      </c>
      <c r="D209" s="4">
        <v>92800</v>
      </c>
      <c r="E209">
        <f t="shared" si="3"/>
        <v>2</v>
      </c>
      <c r="F209" t="s">
        <v>8</v>
      </c>
    </row>
    <row r="210" spans="1:6">
      <c r="A210" s="2" t="s">
        <v>397</v>
      </c>
      <c r="B210" s="3">
        <v>46113</v>
      </c>
      <c r="C210" s="8" t="s">
        <v>398</v>
      </c>
      <c r="D210" s="4">
        <v>50000</v>
      </c>
      <c r="E210">
        <f t="shared" si="3"/>
        <v>1.5</v>
      </c>
      <c r="F210" t="s">
        <v>8</v>
      </c>
    </row>
    <row r="211" spans="1:6">
      <c r="A211" s="2" t="s">
        <v>399</v>
      </c>
      <c r="B211" s="3">
        <v>46113</v>
      </c>
      <c r="C211" s="8" t="s">
        <v>400</v>
      </c>
      <c r="D211" s="4">
        <v>57000</v>
      </c>
      <c r="E211">
        <f t="shared" si="3"/>
        <v>2</v>
      </c>
      <c r="F211" t="s">
        <v>8</v>
      </c>
    </row>
    <row r="212" spans="1:6">
      <c r="A212" s="2" t="s">
        <v>401</v>
      </c>
      <c r="B212" s="3">
        <v>46114</v>
      </c>
      <c r="C212" s="8" t="s">
        <v>402</v>
      </c>
      <c r="D212" s="4">
        <v>50000</v>
      </c>
      <c r="E212">
        <f t="shared" si="3"/>
        <v>1.5</v>
      </c>
      <c r="F212" t="s">
        <v>8</v>
      </c>
    </row>
    <row r="213" spans="1:6">
      <c r="A213" s="2" t="s">
        <v>403</v>
      </c>
      <c r="B213" s="3">
        <v>46114</v>
      </c>
      <c r="C213" s="8" t="s">
        <v>343</v>
      </c>
      <c r="D213" s="4">
        <v>110000</v>
      </c>
      <c r="E213">
        <f t="shared" si="3"/>
        <v>2.5</v>
      </c>
      <c r="F213" t="s">
        <v>8</v>
      </c>
    </row>
    <row r="214" spans="1:6">
      <c r="A214" s="2" t="s">
        <v>404</v>
      </c>
      <c r="B214" s="3">
        <v>46114</v>
      </c>
      <c r="C214" s="8" t="s">
        <v>405</v>
      </c>
      <c r="D214" s="4">
        <v>87000</v>
      </c>
      <c r="E214">
        <f t="shared" si="3"/>
        <v>2</v>
      </c>
      <c r="F214" t="s">
        <v>8</v>
      </c>
    </row>
    <row r="215" spans="1:6">
      <c r="A215" s="2" t="s">
        <v>406</v>
      </c>
      <c r="B215" s="3">
        <v>46115</v>
      </c>
      <c r="C215" s="8" t="s">
        <v>233</v>
      </c>
      <c r="D215" s="4">
        <v>20000</v>
      </c>
      <c r="E215">
        <f t="shared" si="3"/>
        <v>1.5</v>
      </c>
      <c r="F215" t="s">
        <v>8</v>
      </c>
    </row>
    <row r="216" spans="1:6">
      <c r="A216" s="2" t="s">
        <v>407</v>
      </c>
      <c r="B216" s="3">
        <v>46115</v>
      </c>
      <c r="C216" s="8" t="s">
        <v>408</v>
      </c>
      <c r="D216" s="4">
        <v>35000</v>
      </c>
      <c r="E216">
        <f t="shared" si="3"/>
        <v>1.5</v>
      </c>
      <c r="F216" t="s">
        <v>8</v>
      </c>
    </row>
    <row r="217" spans="1:6">
      <c r="A217" s="2" t="s">
        <v>409</v>
      </c>
      <c r="B217" s="3">
        <v>46116</v>
      </c>
      <c r="C217" s="8" t="s">
        <v>410</v>
      </c>
      <c r="D217" s="4">
        <v>55000</v>
      </c>
      <c r="E217">
        <f t="shared" si="3"/>
        <v>2</v>
      </c>
      <c r="F217" t="s">
        <v>8</v>
      </c>
    </row>
    <row r="218" spans="1:6">
      <c r="A218" s="2" t="s">
        <v>411</v>
      </c>
      <c r="B218" s="3">
        <v>46112</v>
      </c>
      <c r="C218" s="8" t="s">
        <v>412</v>
      </c>
      <c r="D218" s="4">
        <v>103800</v>
      </c>
      <c r="E218">
        <f t="shared" si="3"/>
        <v>2.5</v>
      </c>
      <c r="F218" t="s">
        <v>8</v>
      </c>
    </row>
    <row r="219" spans="1:6">
      <c r="A219" s="2" t="s">
        <v>413</v>
      </c>
      <c r="B219" s="3">
        <v>46128</v>
      </c>
      <c r="C219" s="8" t="s">
        <v>414</v>
      </c>
      <c r="D219" s="4">
        <v>30000</v>
      </c>
      <c r="E219">
        <f t="shared" si="3"/>
        <v>1.5</v>
      </c>
      <c r="F219" t="s">
        <v>8</v>
      </c>
    </row>
    <row r="220" spans="1:6">
      <c r="A220" s="2" t="s">
        <v>415</v>
      </c>
      <c r="B220" s="3">
        <v>46129</v>
      </c>
      <c r="C220" s="8" t="s">
        <v>416</v>
      </c>
      <c r="D220" s="4">
        <v>50000</v>
      </c>
      <c r="E220">
        <f t="shared" si="3"/>
        <v>1.5</v>
      </c>
      <c r="F220" t="s">
        <v>8</v>
      </c>
    </row>
    <row r="221" spans="1:6">
      <c r="A221" s="2" t="s">
        <v>417</v>
      </c>
      <c r="B221" s="3">
        <v>46129</v>
      </c>
      <c r="C221" s="8" t="s">
        <v>418</v>
      </c>
      <c r="D221" s="4">
        <v>30000</v>
      </c>
      <c r="E221">
        <f t="shared" si="3"/>
        <v>1.5</v>
      </c>
      <c r="F221" t="s">
        <v>8</v>
      </c>
    </row>
    <row r="222" spans="1:6">
      <c r="A222" s="2" t="s">
        <v>419</v>
      </c>
      <c r="B222" s="3">
        <v>46129</v>
      </c>
      <c r="C222" s="8" t="s">
        <v>284</v>
      </c>
      <c r="D222" s="4">
        <v>20000</v>
      </c>
      <c r="E222">
        <f t="shared" si="3"/>
        <v>1.5</v>
      </c>
      <c r="F222" t="s">
        <v>8</v>
      </c>
    </row>
    <row r="223" spans="1:6">
      <c r="A223" s="2" t="s">
        <v>420</v>
      </c>
      <c r="B223" s="3">
        <v>46130</v>
      </c>
      <c r="C223" s="8" t="s">
        <v>421</v>
      </c>
      <c r="D223" s="4">
        <v>65000</v>
      </c>
      <c r="E223">
        <f t="shared" si="3"/>
        <v>2</v>
      </c>
      <c r="F223" t="s">
        <v>8</v>
      </c>
    </row>
    <row r="224" spans="1:6">
      <c r="A224" s="2" t="s">
        <v>422</v>
      </c>
      <c r="B224" s="3">
        <v>46132</v>
      </c>
      <c r="C224" s="8" t="s">
        <v>423</v>
      </c>
      <c r="D224" s="4">
        <v>30000</v>
      </c>
      <c r="E224">
        <f t="shared" si="3"/>
        <v>1.5</v>
      </c>
      <c r="F224" t="s">
        <v>8</v>
      </c>
    </row>
    <row r="225" spans="1:6">
      <c r="A225" s="2" t="s">
        <v>424</v>
      </c>
      <c r="B225" s="3">
        <v>46132</v>
      </c>
      <c r="C225" s="8" t="s">
        <v>425</v>
      </c>
      <c r="D225" s="4">
        <v>35000</v>
      </c>
      <c r="E225">
        <f t="shared" si="3"/>
        <v>1.5</v>
      </c>
      <c r="F225" t="s">
        <v>8</v>
      </c>
    </row>
    <row r="226" spans="1:6">
      <c r="A226" s="2" t="s">
        <v>426</v>
      </c>
      <c r="B226" s="3">
        <v>46132</v>
      </c>
      <c r="C226" s="8" t="s">
        <v>427</v>
      </c>
      <c r="D226" s="4">
        <v>20000</v>
      </c>
      <c r="E226">
        <f t="shared" si="3"/>
        <v>1.5</v>
      </c>
      <c r="F226" t="s">
        <v>8</v>
      </c>
    </row>
    <row r="227" spans="1:6">
      <c r="A227" s="2" t="s">
        <v>428</v>
      </c>
      <c r="B227" s="3">
        <v>46132</v>
      </c>
      <c r="C227" s="8" t="s">
        <v>429</v>
      </c>
      <c r="D227" s="4">
        <v>30000</v>
      </c>
      <c r="E227">
        <f t="shared" si="3"/>
        <v>1.5</v>
      </c>
      <c r="F227" t="s">
        <v>8</v>
      </c>
    </row>
    <row r="228" spans="1:6">
      <c r="A228" s="2" t="s">
        <v>430</v>
      </c>
      <c r="B228" s="3">
        <v>46132</v>
      </c>
      <c r="C228" s="8" t="s">
        <v>431</v>
      </c>
      <c r="D228" s="4">
        <v>36000</v>
      </c>
      <c r="E228">
        <f t="shared" si="3"/>
        <v>1.5</v>
      </c>
      <c r="F228" t="s">
        <v>8</v>
      </c>
    </row>
    <row r="229" spans="1:6">
      <c r="A229" s="2" t="s">
        <v>432</v>
      </c>
      <c r="B229" s="3">
        <v>46132</v>
      </c>
      <c r="C229" s="8" t="s">
        <v>135</v>
      </c>
      <c r="D229" s="4">
        <v>80000</v>
      </c>
      <c r="E229">
        <f t="shared" si="3"/>
        <v>2</v>
      </c>
      <c r="F229" t="s">
        <v>8</v>
      </c>
    </row>
    <row r="230" spans="1:6">
      <c r="A230" s="2" t="s">
        <v>433</v>
      </c>
      <c r="B230" s="3">
        <v>46132</v>
      </c>
      <c r="C230" s="8" t="s">
        <v>434</v>
      </c>
      <c r="D230" s="4">
        <v>100000</v>
      </c>
      <c r="E230">
        <f t="shared" si="3"/>
        <v>2</v>
      </c>
      <c r="F230" t="s">
        <v>8</v>
      </c>
    </row>
    <row r="231" spans="1:6">
      <c r="A231" s="2" t="s">
        <v>435</v>
      </c>
      <c r="B231" s="3">
        <v>46133</v>
      </c>
      <c r="C231" s="8" t="s">
        <v>436</v>
      </c>
      <c r="D231" s="4">
        <v>25000</v>
      </c>
      <c r="E231">
        <f t="shared" si="3"/>
        <v>1.5</v>
      </c>
      <c r="F231" t="s">
        <v>8</v>
      </c>
    </row>
    <row r="232" spans="1:6">
      <c r="A232" s="2" t="s">
        <v>437</v>
      </c>
      <c r="B232" s="3">
        <v>46133</v>
      </c>
      <c r="C232" s="8" t="s">
        <v>438</v>
      </c>
      <c r="D232" s="4">
        <v>36000</v>
      </c>
      <c r="E232">
        <f t="shared" si="3"/>
        <v>1.5</v>
      </c>
      <c r="F232" t="s">
        <v>8</v>
      </c>
    </row>
    <row r="233" spans="1:6">
      <c r="A233" s="2" t="s">
        <v>439</v>
      </c>
      <c r="B233" s="3">
        <v>46136</v>
      </c>
      <c r="C233" s="8" t="s">
        <v>335</v>
      </c>
      <c r="D233" s="4">
        <v>200000</v>
      </c>
      <c r="E233">
        <f t="shared" si="3"/>
        <v>2.5</v>
      </c>
      <c r="F233" t="s">
        <v>8</v>
      </c>
    </row>
    <row r="234" spans="1:6">
      <c r="A234" s="2" t="s">
        <v>440</v>
      </c>
      <c r="B234" s="3">
        <v>46137</v>
      </c>
      <c r="C234" s="8" t="s">
        <v>441</v>
      </c>
      <c r="D234" s="4">
        <v>110000</v>
      </c>
      <c r="E234">
        <f t="shared" si="3"/>
        <v>2.5</v>
      </c>
      <c r="F234" t="s">
        <v>8</v>
      </c>
    </row>
    <row r="235" spans="1:6">
      <c r="A235" s="2" t="s">
        <v>442</v>
      </c>
      <c r="B235" s="3">
        <v>46141</v>
      </c>
      <c r="C235" s="8" t="s">
        <v>443</v>
      </c>
      <c r="D235" s="4">
        <v>408000</v>
      </c>
      <c r="E235">
        <f t="shared" si="3"/>
        <v>2.5</v>
      </c>
      <c r="F235" t="s">
        <v>8</v>
      </c>
    </row>
    <row r="236" spans="1:6">
      <c r="A236" s="2" t="s">
        <v>444</v>
      </c>
      <c r="B236" s="3">
        <v>46142</v>
      </c>
      <c r="C236" s="8" t="s">
        <v>445</v>
      </c>
      <c r="D236" s="4">
        <v>200000</v>
      </c>
      <c r="E236">
        <f t="shared" si="3"/>
        <v>2.5</v>
      </c>
      <c r="F236" t="s">
        <v>8</v>
      </c>
    </row>
    <row r="237" spans="1:6">
      <c r="A237" s="2" t="s">
        <v>446</v>
      </c>
      <c r="B237" s="3">
        <v>46142</v>
      </c>
      <c r="C237" s="8" t="s">
        <v>447</v>
      </c>
      <c r="D237" s="4">
        <v>250000</v>
      </c>
      <c r="E237">
        <f t="shared" si="3"/>
        <v>2.5</v>
      </c>
      <c r="F237" t="s">
        <v>8</v>
      </c>
    </row>
    <row r="238" spans="1:6">
      <c r="A238" s="2" t="s">
        <v>448</v>
      </c>
      <c r="B238" s="3">
        <v>46142</v>
      </c>
      <c r="C238" s="8" t="s">
        <v>449</v>
      </c>
      <c r="D238" s="4">
        <v>150000</v>
      </c>
      <c r="E238">
        <f t="shared" si="3"/>
        <v>2.5</v>
      </c>
      <c r="F238" t="s">
        <v>8</v>
      </c>
    </row>
    <row r="239" spans="1:6">
      <c r="A239" s="2" t="s">
        <v>450</v>
      </c>
      <c r="B239" s="3">
        <v>46132</v>
      </c>
      <c r="C239" s="8" t="s">
        <v>451</v>
      </c>
      <c r="D239" s="4">
        <v>92200</v>
      </c>
      <c r="E239">
        <f t="shared" si="3"/>
        <v>2</v>
      </c>
      <c r="F239" t="s">
        <v>8</v>
      </c>
    </row>
    <row r="240" spans="1:6">
      <c r="A240" s="2" t="s">
        <v>452</v>
      </c>
      <c r="B240" s="3">
        <v>46143</v>
      </c>
      <c r="C240" s="8" t="s">
        <v>453</v>
      </c>
      <c r="D240" s="4">
        <v>70000</v>
      </c>
      <c r="E240">
        <f t="shared" si="3"/>
        <v>2</v>
      </c>
      <c r="F240" t="s">
        <v>8</v>
      </c>
    </row>
    <row r="241" spans="1:6">
      <c r="A241" s="2" t="s">
        <v>454</v>
      </c>
      <c r="B241" s="3">
        <v>46144</v>
      </c>
      <c r="C241" s="8" t="s">
        <v>385</v>
      </c>
      <c r="D241" s="4">
        <v>50000</v>
      </c>
      <c r="E241">
        <f t="shared" si="3"/>
        <v>1.5</v>
      </c>
      <c r="F241" t="s">
        <v>8</v>
      </c>
    </row>
    <row r="242" spans="1:6">
      <c r="A242" s="2" t="s">
        <v>455</v>
      </c>
      <c r="B242" s="3">
        <v>46146</v>
      </c>
      <c r="C242" s="8" t="s">
        <v>456</v>
      </c>
      <c r="D242" s="4">
        <v>85000</v>
      </c>
      <c r="E242">
        <f t="shared" si="3"/>
        <v>2</v>
      </c>
      <c r="F242" t="s">
        <v>8</v>
      </c>
    </row>
    <row r="243" spans="1:6">
      <c r="A243" s="2" t="s">
        <v>457</v>
      </c>
      <c r="B243" s="3">
        <v>46146</v>
      </c>
      <c r="C243" s="8" t="s">
        <v>293</v>
      </c>
      <c r="D243" s="4">
        <v>150000</v>
      </c>
      <c r="E243">
        <f t="shared" si="3"/>
        <v>2.5</v>
      </c>
      <c r="F243" t="s">
        <v>8</v>
      </c>
    </row>
    <row r="244" spans="1:6">
      <c r="A244" s="2" t="s">
        <v>458</v>
      </c>
      <c r="B244" s="3">
        <v>46147</v>
      </c>
      <c r="C244" s="8" t="s">
        <v>459</v>
      </c>
      <c r="D244" s="4">
        <v>320000</v>
      </c>
      <c r="E244">
        <f t="shared" si="3"/>
        <v>2.5</v>
      </c>
      <c r="F244" t="s">
        <v>8</v>
      </c>
    </row>
    <row r="245" spans="1:6">
      <c r="A245" s="2" t="s">
        <v>460</v>
      </c>
      <c r="B245" s="3">
        <v>46148</v>
      </c>
      <c r="C245" s="8" t="s">
        <v>461</v>
      </c>
      <c r="D245" s="4">
        <v>85000</v>
      </c>
      <c r="E245">
        <f t="shared" si="3"/>
        <v>2</v>
      </c>
      <c r="F245" t="s">
        <v>8</v>
      </c>
    </row>
    <row r="246" spans="1:6">
      <c r="A246" s="2" t="s">
        <v>462</v>
      </c>
      <c r="B246" s="3">
        <v>46149</v>
      </c>
      <c r="C246" s="8" t="s">
        <v>463</v>
      </c>
      <c r="D246" s="4">
        <v>80000</v>
      </c>
      <c r="E246">
        <f t="shared" si="3"/>
        <v>2</v>
      </c>
      <c r="F246" t="s">
        <v>8</v>
      </c>
    </row>
    <row r="247" spans="1:6">
      <c r="A247" s="2" t="s">
        <v>464</v>
      </c>
      <c r="B247" s="3">
        <v>46149</v>
      </c>
      <c r="C247" s="8" t="s">
        <v>465</v>
      </c>
      <c r="D247" s="4">
        <v>300000</v>
      </c>
      <c r="E247">
        <f t="shared" si="3"/>
        <v>2.5</v>
      </c>
      <c r="F247" t="s">
        <v>8</v>
      </c>
    </row>
    <row r="248" spans="1:6">
      <c r="A248" s="2" t="s">
        <v>466</v>
      </c>
      <c r="B248" s="3">
        <v>46149</v>
      </c>
      <c r="C248" s="8" t="s">
        <v>456</v>
      </c>
      <c r="D248" s="4">
        <v>45000</v>
      </c>
      <c r="E248">
        <f t="shared" si="3"/>
        <v>1.5</v>
      </c>
      <c r="F248" t="s">
        <v>8</v>
      </c>
    </row>
    <row r="249" spans="1:6">
      <c r="A249" s="2" t="s">
        <v>467</v>
      </c>
      <c r="B249" s="3">
        <v>46149</v>
      </c>
      <c r="C249" s="8" t="s">
        <v>468</v>
      </c>
      <c r="D249" s="4">
        <v>50000</v>
      </c>
      <c r="E249">
        <f t="shared" si="3"/>
        <v>1.5</v>
      </c>
      <c r="F249" t="s">
        <v>8</v>
      </c>
    </row>
    <row r="250" spans="1:6">
      <c r="A250" s="2" t="s">
        <v>469</v>
      </c>
      <c r="B250" s="3">
        <v>46150</v>
      </c>
      <c r="C250" s="8" t="s">
        <v>293</v>
      </c>
      <c r="D250" s="4">
        <v>350000</v>
      </c>
      <c r="E250">
        <f t="shared" si="3"/>
        <v>2.5</v>
      </c>
      <c r="F250" t="s">
        <v>8</v>
      </c>
    </row>
    <row r="251" spans="1:6">
      <c r="A251" s="2" t="s">
        <v>470</v>
      </c>
      <c r="B251" s="3">
        <v>46151</v>
      </c>
      <c r="C251" s="8" t="s">
        <v>471</v>
      </c>
      <c r="D251" s="4">
        <v>80000</v>
      </c>
      <c r="E251">
        <f t="shared" si="3"/>
        <v>2</v>
      </c>
      <c r="F251" t="s">
        <v>8</v>
      </c>
    </row>
    <row r="252" spans="1:6">
      <c r="A252" s="2" t="s">
        <v>472</v>
      </c>
      <c r="B252" s="3">
        <v>46152</v>
      </c>
      <c r="C252" s="8" t="s">
        <v>473</v>
      </c>
      <c r="D252" s="4">
        <v>100000</v>
      </c>
      <c r="E252">
        <f t="shared" si="3"/>
        <v>2</v>
      </c>
      <c r="F252" t="s">
        <v>8</v>
      </c>
    </row>
    <row r="253" spans="1:6">
      <c r="A253" s="2" t="s">
        <v>474</v>
      </c>
      <c r="B253" s="3">
        <v>46153</v>
      </c>
      <c r="C253" s="8" t="s">
        <v>475</v>
      </c>
      <c r="D253" s="4">
        <v>50000</v>
      </c>
      <c r="E253">
        <f t="shared" si="3"/>
        <v>1.5</v>
      </c>
      <c r="F253" t="s">
        <v>8</v>
      </c>
    </row>
    <row r="254" spans="1:6">
      <c r="A254" s="2" t="s">
        <v>476</v>
      </c>
      <c r="B254" s="3">
        <v>46158</v>
      </c>
      <c r="C254" s="8" t="s">
        <v>477</v>
      </c>
      <c r="D254" s="4">
        <v>60000</v>
      </c>
      <c r="E254">
        <f t="shared" si="3"/>
        <v>2</v>
      </c>
      <c r="F254" t="s">
        <v>8</v>
      </c>
    </row>
    <row r="255" spans="1:6">
      <c r="A255" s="2" t="s">
        <v>478</v>
      </c>
      <c r="B255" s="3">
        <v>46159</v>
      </c>
      <c r="C255" s="8" t="s">
        <v>479</v>
      </c>
      <c r="D255" s="4">
        <v>61700</v>
      </c>
      <c r="E255">
        <f t="shared" si="3"/>
        <v>2</v>
      </c>
      <c r="F255" t="s">
        <v>8</v>
      </c>
    </row>
    <row r="256" spans="1:6">
      <c r="A256" s="2" t="s">
        <v>480</v>
      </c>
      <c r="B256" s="3">
        <v>46160</v>
      </c>
      <c r="C256" s="8" t="s">
        <v>463</v>
      </c>
      <c r="D256" s="4">
        <v>70000</v>
      </c>
      <c r="E256">
        <f t="shared" si="3"/>
        <v>2</v>
      </c>
      <c r="F256" t="s">
        <v>8</v>
      </c>
    </row>
    <row r="257" spans="1:6">
      <c r="A257" s="2" t="s">
        <v>481</v>
      </c>
      <c r="B257" s="3">
        <v>46160</v>
      </c>
      <c r="C257" s="8" t="s">
        <v>482</v>
      </c>
      <c r="D257" s="4">
        <v>120000</v>
      </c>
      <c r="E257">
        <f t="shared" si="3"/>
        <v>2.5</v>
      </c>
      <c r="F257" t="s">
        <v>8</v>
      </c>
    </row>
    <row r="258" spans="1:6">
      <c r="A258" s="2" t="s">
        <v>483</v>
      </c>
      <c r="B258" s="3">
        <v>46160</v>
      </c>
      <c r="C258" s="8" t="s">
        <v>484</v>
      </c>
      <c r="D258" s="4">
        <v>20000</v>
      </c>
      <c r="E258">
        <f t="shared" ref="E258:E321" si="4">IF(D258&lt;=50000,1.5,IF(D258&lt;=100000,2,2.5))</f>
        <v>1.5</v>
      </c>
      <c r="F258" t="s">
        <v>8</v>
      </c>
    </row>
    <row r="259" spans="1:6">
      <c r="A259" s="2" t="s">
        <v>485</v>
      </c>
      <c r="B259" s="3">
        <v>46160</v>
      </c>
      <c r="C259" s="8" t="s">
        <v>486</v>
      </c>
      <c r="D259" s="4">
        <v>20000</v>
      </c>
      <c r="E259">
        <f t="shared" si="4"/>
        <v>1.5</v>
      </c>
      <c r="F259" t="s">
        <v>8</v>
      </c>
    </row>
    <row r="260" spans="1:6">
      <c r="A260" s="2" t="s">
        <v>487</v>
      </c>
      <c r="B260" s="3">
        <v>46161</v>
      </c>
      <c r="C260" s="8" t="s">
        <v>488</v>
      </c>
      <c r="D260" s="4">
        <v>55000</v>
      </c>
      <c r="E260">
        <f t="shared" si="4"/>
        <v>2</v>
      </c>
      <c r="F260" t="s">
        <v>8</v>
      </c>
    </row>
    <row r="261" spans="1:6">
      <c r="A261" s="2" t="s">
        <v>489</v>
      </c>
      <c r="B261" s="3">
        <v>46161</v>
      </c>
      <c r="C261" s="8" t="s">
        <v>490</v>
      </c>
      <c r="D261" s="4">
        <v>150000</v>
      </c>
      <c r="E261">
        <f t="shared" si="4"/>
        <v>2.5</v>
      </c>
      <c r="F261" t="s">
        <v>8</v>
      </c>
    </row>
    <row r="262" spans="1:6">
      <c r="A262" s="2" t="s">
        <v>491</v>
      </c>
      <c r="B262" s="3">
        <v>46161</v>
      </c>
      <c r="C262" s="8" t="s">
        <v>492</v>
      </c>
      <c r="D262" s="4">
        <v>50000</v>
      </c>
      <c r="E262">
        <f t="shared" si="4"/>
        <v>1.5</v>
      </c>
      <c r="F262" t="s">
        <v>8</v>
      </c>
    </row>
    <row r="263" spans="1:6">
      <c r="A263" s="2" t="s">
        <v>493</v>
      </c>
      <c r="B263" s="3">
        <v>46162</v>
      </c>
      <c r="C263" s="8" t="s">
        <v>494</v>
      </c>
      <c r="D263" s="4">
        <v>25000</v>
      </c>
      <c r="E263">
        <f t="shared" si="4"/>
        <v>1.5</v>
      </c>
      <c r="F263" t="s">
        <v>8</v>
      </c>
    </row>
    <row r="264" spans="1:6">
      <c r="A264" s="2" t="s">
        <v>495</v>
      </c>
      <c r="B264" s="3">
        <v>46162</v>
      </c>
      <c r="C264" s="8" t="s">
        <v>496</v>
      </c>
      <c r="D264" s="4">
        <v>20000</v>
      </c>
      <c r="E264">
        <f t="shared" si="4"/>
        <v>1.5</v>
      </c>
      <c r="F264" t="s">
        <v>8</v>
      </c>
    </row>
    <row r="265" spans="1:6">
      <c r="A265" s="2" t="s">
        <v>497</v>
      </c>
      <c r="B265" s="3">
        <v>46162</v>
      </c>
      <c r="C265" s="8" t="s">
        <v>498</v>
      </c>
      <c r="D265" s="4">
        <v>160000</v>
      </c>
      <c r="E265">
        <f t="shared" si="4"/>
        <v>2.5</v>
      </c>
      <c r="F265" t="s">
        <v>8</v>
      </c>
    </row>
    <row r="266" spans="1:6">
      <c r="A266" s="2" t="s">
        <v>499</v>
      </c>
      <c r="B266" s="3">
        <v>46163</v>
      </c>
      <c r="C266" s="8" t="s">
        <v>500</v>
      </c>
      <c r="D266" s="4">
        <v>25000</v>
      </c>
      <c r="E266">
        <f t="shared" si="4"/>
        <v>1.5</v>
      </c>
      <c r="F266" t="s">
        <v>8</v>
      </c>
    </row>
    <row r="267" spans="1:6">
      <c r="A267" s="2" t="s">
        <v>501</v>
      </c>
      <c r="B267" s="3">
        <v>46165</v>
      </c>
      <c r="C267" s="8" t="s">
        <v>502</v>
      </c>
      <c r="D267" s="4">
        <v>150000</v>
      </c>
      <c r="E267">
        <f t="shared" si="4"/>
        <v>2.5</v>
      </c>
      <c r="F267" t="s">
        <v>8</v>
      </c>
    </row>
    <row r="268" spans="1:6">
      <c r="A268" s="2" t="s">
        <v>503</v>
      </c>
      <c r="B268" s="3">
        <v>46165</v>
      </c>
      <c r="C268" s="8" t="s">
        <v>456</v>
      </c>
      <c r="D268" s="4">
        <v>60000</v>
      </c>
      <c r="E268">
        <f t="shared" si="4"/>
        <v>2</v>
      </c>
      <c r="F268" t="s">
        <v>8</v>
      </c>
    </row>
    <row r="269" spans="1:6">
      <c r="A269" s="2" t="s">
        <v>504</v>
      </c>
      <c r="B269" s="3">
        <v>46166</v>
      </c>
      <c r="C269" s="8" t="s">
        <v>505</v>
      </c>
      <c r="D269" s="4">
        <v>62000</v>
      </c>
      <c r="E269">
        <f t="shared" si="4"/>
        <v>2</v>
      </c>
      <c r="F269" t="s">
        <v>8</v>
      </c>
    </row>
    <row r="270" spans="1:6">
      <c r="A270" s="2" t="s">
        <v>506</v>
      </c>
      <c r="B270" s="3">
        <v>46166</v>
      </c>
      <c r="C270" s="8" t="s">
        <v>507</v>
      </c>
      <c r="D270" s="4">
        <v>35000</v>
      </c>
      <c r="E270">
        <f t="shared" si="4"/>
        <v>1.5</v>
      </c>
      <c r="F270" t="s">
        <v>8</v>
      </c>
    </row>
    <row r="271" spans="1:6">
      <c r="A271" s="2" t="s">
        <v>508</v>
      </c>
      <c r="B271" s="3">
        <v>46167</v>
      </c>
      <c r="C271" s="8" t="s">
        <v>21</v>
      </c>
      <c r="D271" s="4">
        <v>60000</v>
      </c>
      <c r="E271">
        <f t="shared" si="4"/>
        <v>2</v>
      </c>
      <c r="F271" t="s">
        <v>8</v>
      </c>
    </row>
    <row r="272" spans="1:6">
      <c r="A272" s="2" t="s">
        <v>509</v>
      </c>
      <c r="B272" s="3">
        <v>46167</v>
      </c>
      <c r="C272" s="8" t="s">
        <v>293</v>
      </c>
      <c r="D272" s="4">
        <v>500000</v>
      </c>
      <c r="E272">
        <f t="shared" si="4"/>
        <v>2.5</v>
      </c>
      <c r="F272" t="s">
        <v>8</v>
      </c>
    </row>
    <row r="273" spans="1:6">
      <c r="A273" s="2" t="s">
        <v>510</v>
      </c>
      <c r="B273" s="3">
        <v>46168</v>
      </c>
      <c r="C273" s="8" t="s">
        <v>511</v>
      </c>
      <c r="D273" s="4">
        <v>220000</v>
      </c>
      <c r="E273">
        <f t="shared" si="4"/>
        <v>2.5</v>
      </c>
      <c r="F273" t="s">
        <v>8</v>
      </c>
    </row>
    <row r="274" spans="1:6">
      <c r="A274" s="2" t="s">
        <v>512</v>
      </c>
      <c r="B274" s="3">
        <v>46169</v>
      </c>
      <c r="C274" s="8" t="s">
        <v>513</v>
      </c>
      <c r="D274" s="4">
        <v>170000</v>
      </c>
      <c r="E274">
        <f t="shared" si="4"/>
        <v>2.5</v>
      </c>
      <c r="F274" t="s">
        <v>8</v>
      </c>
    </row>
    <row r="275" spans="1:6">
      <c r="A275" s="2" t="s">
        <v>514</v>
      </c>
      <c r="B275" s="3">
        <v>46170</v>
      </c>
      <c r="C275" s="8" t="s">
        <v>515</v>
      </c>
      <c r="D275" s="4">
        <v>220000</v>
      </c>
      <c r="E275">
        <f t="shared" si="4"/>
        <v>2.5</v>
      </c>
      <c r="F275" t="s">
        <v>8</v>
      </c>
    </row>
    <row r="276" spans="1:6">
      <c r="A276" s="2" t="s">
        <v>516</v>
      </c>
      <c r="B276" s="3">
        <v>46172</v>
      </c>
      <c r="C276" s="8" t="s">
        <v>517</v>
      </c>
      <c r="D276" s="4">
        <v>70000</v>
      </c>
      <c r="E276">
        <f t="shared" si="4"/>
        <v>2</v>
      </c>
      <c r="F276" t="s">
        <v>8</v>
      </c>
    </row>
    <row r="277" spans="1:6">
      <c r="A277" s="2" t="s">
        <v>518</v>
      </c>
      <c r="B277" s="3">
        <v>46172</v>
      </c>
      <c r="C277" s="8" t="s">
        <v>519</v>
      </c>
      <c r="D277" s="4">
        <v>50000</v>
      </c>
      <c r="E277">
        <f t="shared" si="4"/>
        <v>1.5</v>
      </c>
      <c r="F277" t="s">
        <v>8</v>
      </c>
    </row>
    <row r="278" spans="1:6">
      <c r="A278" s="2" t="s">
        <v>520</v>
      </c>
      <c r="B278" s="3">
        <v>46172</v>
      </c>
      <c r="C278" s="8" t="s">
        <v>521</v>
      </c>
      <c r="D278" s="4">
        <v>100000</v>
      </c>
      <c r="E278">
        <f t="shared" si="4"/>
        <v>2</v>
      </c>
      <c r="F278" t="s">
        <v>8</v>
      </c>
    </row>
    <row r="279" spans="1:6">
      <c r="A279" s="2" t="s">
        <v>522</v>
      </c>
      <c r="B279" s="3">
        <v>46174</v>
      </c>
      <c r="C279" s="8" t="s">
        <v>523</v>
      </c>
      <c r="D279" s="4">
        <v>160000</v>
      </c>
      <c r="E279">
        <f t="shared" si="4"/>
        <v>2.5</v>
      </c>
      <c r="F279" t="s">
        <v>8</v>
      </c>
    </row>
    <row r="280" spans="1:6">
      <c r="A280" s="2" t="s">
        <v>524</v>
      </c>
      <c r="B280" s="3">
        <v>46175</v>
      </c>
      <c r="C280" s="8" t="s">
        <v>525</v>
      </c>
      <c r="D280" s="4">
        <v>200000</v>
      </c>
      <c r="E280">
        <f t="shared" si="4"/>
        <v>2.5</v>
      </c>
      <c r="F280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B24A-C4CC-47FF-B663-D4FB5B0A4E63}">
  <dimension ref="A1:H116"/>
  <sheetViews>
    <sheetView workbookViewId="0">
      <selection activeCell="B16" sqref="B16"/>
    </sheetView>
  </sheetViews>
  <sheetFormatPr defaultRowHeight="15"/>
  <cols>
    <col min="1" max="1" width="11.28515625" bestFit="1" customWidth="1"/>
    <col min="2" max="2" width="12.7109375" bestFit="1" customWidth="1"/>
    <col min="3" max="3" width="15.28515625" bestFit="1" customWidth="1"/>
    <col min="4" max="5" width="19.140625" bestFit="1" customWidth="1"/>
    <col min="6" max="6" width="15.28515625" bestFit="1" customWidth="1"/>
    <col min="7" max="7" width="17.42578125" bestFit="1" customWidth="1"/>
  </cols>
  <sheetData>
    <row r="1" spans="1:8">
      <c r="A1" s="12" t="s">
        <v>526</v>
      </c>
      <c r="B1" s="13" t="s">
        <v>527</v>
      </c>
      <c r="C1" s="13" t="s">
        <v>528</v>
      </c>
      <c r="D1" s="13" t="s">
        <v>529</v>
      </c>
      <c r="E1" s="13" t="s">
        <v>530</v>
      </c>
      <c r="F1" s="13" t="s">
        <v>531</v>
      </c>
      <c r="G1" s="13" t="s">
        <v>532</v>
      </c>
      <c r="H1" s="14" t="s">
        <v>5</v>
      </c>
    </row>
    <row r="2" spans="1:8">
      <c r="A2" s="15" t="s">
        <v>533</v>
      </c>
      <c r="B2" s="16">
        <v>44211</v>
      </c>
      <c r="C2" s="16">
        <v>44915</v>
      </c>
      <c r="D2" s="17" t="s">
        <v>534</v>
      </c>
      <c r="E2" s="17">
        <v>50000</v>
      </c>
      <c r="F2" s="17">
        <f>IF(G2/E2&gt;0.45,2.5,IF(G2/E2&gt;0.25,2,1.5))</f>
        <v>2</v>
      </c>
      <c r="G2" s="17">
        <v>18000</v>
      </c>
      <c r="H2" s="9" t="s">
        <v>535</v>
      </c>
    </row>
    <row r="3" spans="1:8">
      <c r="A3" s="18" t="s">
        <v>536</v>
      </c>
      <c r="B3" s="19">
        <v>44218</v>
      </c>
      <c r="C3" s="19">
        <v>45003</v>
      </c>
      <c r="D3" s="20" t="s">
        <v>537</v>
      </c>
      <c r="E3" s="20">
        <v>75000</v>
      </c>
      <c r="F3" s="20">
        <f t="shared" ref="F3:F66" si="0">IF(G3/E3&gt;0.45,2.5,IF(G3/E3&gt;0.25,2,1.5))</f>
        <v>2</v>
      </c>
      <c r="G3" s="20">
        <v>32000</v>
      </c>
      <c r="H3" s="10" t="s">
        <v>535</v>
      </c>
    </row>
    <row r="4" spans="1:8">
      <c r="A4" s="15" t="s">
        <v>538</v>
      </c>
      <c r="B4" s="16">
        <v>44232</v>
      </c>
      <c r="C4" s="16">
        <v>44936</v>
      </c>
      <c r="D4" s="17" t="s">
        <v>539</v>
      </c>
      <c r="E4" s="17">
        <v>40000</v>
      </c>
      <c r="F4" s="17">
        <f t="shared" si="0"/>
        <v>2</v>
      </c>
      <c r="G4" s="17">
        <v>14500</v>
      </c>
      <c r="H4" s="9" t="s">
        <v>535</v>
      </c>
    </row>
    <row r="5" spans="1:8">
      <c r="A5" s="18" t="s">
        <v>540</v>
      </c>
      <c r="B5" s="19">
        <v>44245</v>
      </c>
      <c r="C5" s="19">
        <v>45102</v>
      </c>
      <c r="D5" s="20" t="s">
        <v>541</v>
      </c>
      <c r="E5" s="20">
        <v>90000</v>
      </c>
      <c r="F5" s="20">
        <f t="shared" si="0"/>
        <v>2.5</v>
      </c>
      <c r="G5" s="20">
        <v>41000</v>
      </c>
      <c r="H5" s="10" t="s">
        <v>535</v>
      </c>
    </row>
    <row r="6" spans="1:8">
      <c r="A6" s="15" t="s">
        <v>542</v>
      </c>
      <c r="B6" s="16">
        <v>44257</v>
      </c>
      <c r="C6" s="16">
        <v>44971</v>
      </c>
      <c r="D6" s="17" t="s">
        <v>543</v>
      </c>
      <c r="E6" s="17">
        <v>60000</v>
      </c>
      <c r="F6" s="17">
        <f t="shared" si="0"/>
        <v>2</v>
      </c>
      <c r="G6" s="17">
        <v>25000</v>
      </c>
      <c r="H6" s="9" t="s">
        <v>535</v>
      </c>
    </row>
    <row r="7" spans="1:8">
      <c r="A7" s="18" t="s">
        <v>544</v>
      </c>
      <c r="B7" s="19">
        <v>44265</v>
      </c>
      <c r="C7" s="19">
        <v>44895</v>
      </c>
      <c r="D7" s="20" t="s">
        <v>545</v>
      </c>
      <c r="E7" s="20">
        <v>35000</v>
      </c>
      <c r="F7" s="20">
        <f t="shared" si="0"/>
        <v>2</v>
      </c>
      <c r="G7" s="20">
        <v>11000</v>
      </c>
      <c r="H7" s="10" t="s">
        <v>535</v>
      </c>
    </row>
    <row r="8" spans="1:8">
      <c r="A8" s="15" t="s">
        <v>546</v>
      </c>
      <c r="B8" s="16">
        <v>44276</v>
      </c>
      <c r="C8" s="16">
        <v>45031</v>
      </c>
      <c r="D8" s="17" t="s">
        <v>547</v>
      </c>
      <c r="E8" s="17">
        <v>120000</v>
      </c>
      <c r="F8" s="17">
        <f t="shared" si="0"/>
        <v>2</v>
      </c>
      <c r="G8" s="17">
        <v>52000</v>
      </c>
      <c r="H8" s="9" t="s">
        <v>535</v>
      </c>
    </row>
    <row r="9" spans="1:8">
      <c r="A9" s="18" t="s">
        <v>548</v>
      </c>
      <c r="B9" s="19">
        <v>44290</v>
      </c>
      <c r="C9" s="19">
        <v>44814</v>
      </c>
      <c r="D9" s="20" t="s">
        <v>549</v>
      </c>
      <c r="E9" s="20">
        <v>45000</v>
      </c>
      <c r="F9" s="20">
        <f t="shared" si="0"/>
        <v>2</v>
      </c>
      <c r="G9" s="20">
        <v>15000</v>
      </c>
      <c r="H9" s="10" t="s">
        <v>535</v>
      </c>
    </row>
    <row r="10" spans="1:8">
      <c r="A10" s="15" t="s">
        <v>550</v>
      </c>
      <c r="B10" s="16">
        <v>44301</v>
      </c>
      <c r="C10" s="16">
        <v>45066</v>
      </c>
      <c r="D10" s="17" t="s">
        <v>551</v>
      </c>
      <c r="E10" s="17">
        <v>100000</v>
      </c>
      <c r="F10" s="17">
        <f t="shared" si="0"/>
        <v>2.5</v>
      </c>
      <c r="G10" s="17">
        <v>47000</v>
      </c>
      <c r="H10" s="9" t="s">
        <v>535</v>
      </c>
    </row>
    <row r="11" spans="1:8">
      <c r="A11" s="18" t="s">
        <v>552</v>
      </c>
      <c r="B11" s="19">
        <v>44314</v>
      </c>
      <c r="C11" s="19">
        <v>44903</v>
      </c>
      <c r="D11" s="20" t="s">
        <v>553</v>
      </c>
      <c r="E11" s="20">
        <v>70000</v>
      </c>
      <c r="F11" s="20">
        <f t="shared" si="0"/>
        <v>2</v>
      </c>
      <c r="G11" s="20">
        <v>26000</v>
      </c>
      <c r="H11" s="10" t="s">
        <v>535</v>
      </c>
    </row>
    <row r="12" spans="1:8">
      <c r="A12" s="15" t="s">
        <v>554</v>
      </c>
      <c r="B12" s="16">
        <v>44325</v>
      </c>
      <c r="C12" s="16">
        <v>45156</v>
      </c>
      <c r="D12" s="17" t="s">
        <v>555</v>
      </c>
      <c r="E12" s="17">
        <v>80000</v>
      </c>
      <c r="F12" s="17">
        <f t="shared" si="0"/>
        <v>2</v>
      </c>
      <c r="G12" s="17">
        <v>36000</v>
      </c>
      <c r="H12" s="9" t="s">
        <v>535</v>
      </c>
    </row>
    <row r="13" spans="1:8">
      <c r="A13" s="18" t="s">
        <v>556</v>
      </c>
      <c r="B13" s="19">
        <v>44338</v>
      </c>
      <c r="C13" s="19">
        <v>44931</v>
      </c>
      <c r="D13" s="20" t="s">
        <v>557</v>
      </c>
      <c r="E13" s="20">
        <v>30000</v>
      </c>
      <c r="F13" s="20">
        <f t="shared" si="0"/>
        <v>2</v>
      </c>
      <c r="G13" s="20">
        <v>9500</v>
      </c>
      <c r="H13" s="10" t="s">
        <v>535</v>
      </c>
    </row>
    <row r="14" spans="1:8">
      <c r="A14" s="15" t="s">
        <v>558</v>
      </c>
      <c r="B14" s="16">
        <v>44348</v>
      </c>
      <c r="C14" s="16">
        <v>45119</v>
      </c>
      <c r="D14" s="17" t="s">
        <v>559</v>
      </c>
      <c r="E14" s="17">
        <v>110000</v>
      </c>
      <c r="F14" s="17">
        <f t="shared" si="0"/>
        <v>2.5</v>
      </c>
      <c r="G14" s="17">
        <v>50000</v>
      </c>
      <c r="H14" s="9" t="s">
        <v>535</v>
      </c>
    </row>
    <row r="15" spans="1:8">
      <c r="A15" s="18" t="s">
        <v>560</v>
      </c>
      <c r="B15" s="19">
        <v>44365</v>
      </c>
      <c r="C15" s="19">
        <v>44982</v>
      </c>
      <c r="D15" s="20" t="s">
        <v>561</v>
      </c>
      <c r="E15" s="20">
        <v>65000</v>
      </c>
      <c r="F15" s="20">
        <f t="shared" si="0"/>
        <v>2</v>
      </c>
      <c r="G15" s="20">
        <v>24000</v>
      </c>
      <c r="H15" s="10" t="s">
        <v>535</v>
      </c>
    </row>
    <row r="16" spans="1:8">
      <c r="A16" s="15" t="s">
        <v>562</v>
      </c>
      <c r="B16" s="16">
        <v>44379</v>
      </c>
      <c r="C16" s="16">
        <v>44850</v>
      </c>
      <c r="D16" s="17" t="s">
        <v>563</v>
      </c>
      <c r="E16" s="17">
        <v>55000</v>
      </c>
      <c r="F16" s="17">
        <f t="shared" si="0"/>
        <v>2</v>
      </c>
      <c r="G16" s="17">
        <v>17000</v>
      </c>
      <c r="H16" s="9" t="s">
        <v>535</v>
      </c>
    </row>
    <row r="17" spans="1:8">
      <c r="A17" s="18" t="s">
        <v>564</v>
      </c>
      <c r="B17" s="19">
        <v>44397</v>
      </c>
      <c r="C17" s="19">
        <v>45054</v>
      </c>
      <c r="D17" s="20" t="s">
        <v>565</v>
      </c>
      <c r="E17" s="20">
        <v>85000</v>
      </c>
      <c r="F17" s="20">
        <f t="shared" si="0"/>
        <v>2</v>
      </c>
      <c r="G17" s="20">
        <v>38000</v>
      </c>
      <c r="H17" s="10" t="s">
        <v>535</v>
      </c>
    </row>
    <row r="18" spans="1:8">
      <c r="A18" s="15" t="s">
        <v>566</v>
      </c>
      <c r="B18" s="16">
        <v>44413</v>
      </c>
      <c r="C18" s="16">
        <v>44917</v>
      </c>
      <c r="D18" s="17" t="s">
        <v>567</v>
      </c>
      <c r="E18" s="17">
        <v>25000</v>
      </c>
      <c r="F18" s="17">
        <f t="shared" si="0"/>
        <v>2</v>
      </c>
      <c r="G18" s="17">
        <v>7000</v>
      </c>
      <c r="H18" s="9" t="s">
        <v>535</v>
      </c>
    </row>
    <row r="19" spans="1:8">
      <c r="A19" s="18" t="s">
        <v>568</v>
      </c>
      <c r="B19" s="19">
        <v>44427</v>
      </c>
      <c r="C19" s="19">
        <v>45107</v>
      </c>
      <c r="D19" s="20" t="s">
        <v>569</v>
      </c>
      <c r="E19" s="20">
        <v>95000</v>
      </c>
      <c r="F19" s="20">
        <f t="shared" si="0"/>
        <v>2.5</v>
      </c>
      <c r="G19" s="20">
        <v>43000</v>
      </c>
      <c r="H19" s="10" t="s">
        <v>535</v>
      </c>
    </row>
    <row r="20" spans="1:8">
      <c r="A20" s="15" t="s">
        <v>570</v>
      </c>
      <c r="B20" s="16">
        <v>44440</v>
      </c>
      <c r="C20" s="16">
        <v>45000</v>
      </c>
      <c r="D20" s="17" t="s">
        <v>571</v>
      </c>
      <c r="E20" s="17">
        <v>50000</v>
      </c>
      <c r="F20" s="17">
        <f t="shared" si="0"/>
        <v>2</v>
      </c>
      <c r="G20" s="17">
        <v>18000</v>
      </c>
      <c r="H20" s="9" t="s">
        <v>535</v>
      </c>
    </row>
    <row r="21" spans="1:8">
      <c r="A21" s="18" t="s">
        <v>572</v>
      </c>
      <c r="B21" s="19">
        <v>44453</v>
      </c>
      <c r="C21" s="19">
        <v>44953</v>
      </c>
      <c r="D21" s="20" t="s">
        <v>573</v>
      </c>
      <c r="E21" s="20">
        <v>60000</v>
      </c>
      <c r="F21" s="20">
        <f t="shared" si="0"/>
        <v>2</v>
      </c>
      <c r="G21" s="20">
        <v>22000</v>
      </c>
      <c r="H21" s="10" t="s">
        <v>535</v>
      </c>
    </row>
    <row r="22" spans="1:8">
      <c r="A22" s="15" t="s">
        <v>574</v>
      </c>
      <c r="B22" s="16">
        <v>44467</v>
      </c>
      <c r="C22" s="16">
        <v>45150</v>
      </c>
      <c r="D22" s="17" t="s">
        <v>575</v>
      </c>
      <c r="E22" s="17">
        <v>130000</v>
      </c>
      <c r="F22" s="17">
        <f t="shared" si="0"/>
        <v>2.5</v>
      </c>
      <c r="G22" s="17">
        <v>62000</v>
      </c>
      <c r="H22" s="9" t="s">
        <v>535</v>
      </c>
    </row>
    <row r="23" spans="1:8">
      <c r="A23" s="18" t="s">
        <v>576</v>
      </c>
      <c r="B23" s="19">
        <v>44479</v>
      </c>
      <c r="C23" s="19">
        <v>45041</v>
      </c>
      <c r="D23" s="20" t="s">
        <v>577</v>
      </c>
      <c r="E23" s="20">
        <v>40000</v>
      </c>
      <c r="F23" s="20">
        <f t="shared" si="0"/>
        <v>2</v>
      </c>
      <c r="G23" s="20">
        <v>13000</v>
      </c>
      <c r="H23" s="10" t="s">
        <v>535</v>
      </c>
    </row>
    <row r="24" spans="1:8">
      <c r="A24" s="15" t="s">
        <v>578</v>
      </c>
      <c r="B24" s="16">
        <v>44491</v>
      </c>
      <c r="C24" s="16">
        <v>44883</v>
      </c>
      <c r="D24" s="17" t="s">
        <v>579</v>
      </c>
      <c r="E24" s="17">
        <v>70000</v>
      </c>
      <c r="F24" s="17">
        <f t="shared" si="0"/>
        <v>2</v>
      </c>
      <c r="G24" s="17">
        <v>25000</v>
      </c>
      <c r="H24" s="9" t="s">
        <v>535</v>
      </c>
    </row>
    <row r="25" spans="1:8">
      <c r="A25" s="18" t="s">
        <v>580</v>
      </c>
      <c r="B25" s="19">
        <v>44505</v>
      </c>
      <c r="C25" s="19">
        <v>45127</v>
      </c>
      <c r="D25" s="20" t="s">
        <v>581</v>
      </c>
      <c r="E25" s="20">
        <v>150000</v>
      </c>
      <c r="F25" s="20">
        <f t="shared" si="0"/>
        <v>2.5</v>
      </c>
      <c r="G25" s="20">
        <v>70000</v>
      </c>
      <c r="H25" s="10" t="s">
        <v>535</v>
      </c>
    </row>
    <row r="26" spans="1:8">
      <c r="A26" s="15" t="s">
        <v>582</v>
      </c>
      <c r="B26" s="16">
        <v>44518</v>
      </c>
      <c r="C26" s="16">
        <v>44962</v>
      </c>
      <c r="D26" s="17" t="s">
        <v>583</v>
      </c>
      <c r="E26" s="17">
        <v>45000</v>
      </c>
      <c r="F26" s="17">
        <f t="shared" si="0"/>
        <v>2</v>
      </c>
      <c r="G26" s="17">
        <v>16000</v>
      </c>
      <c r="H26" s="9" t="s">
        <v>535</v>
      </c>
    </row>
    <row r="27" spans="1:8">
      <c r="A27" s="18" t="s">
        <v>584</v>
      </c>
      <c r="B27" s="19">
        <v>44532</v>
      </c>
      <c r="C27" s="19">
        <v>45153</v>
      </c>
      <c r="D27" s="20" t="s">
        <v>585</v>
      </c>
      <c r="E27" s="20">
        <v>80000</v>
      </c>
      <c r="F27" s="20">
        <f t="shared" si="0"/>
        <v>2</v>
      </c>
      <c r="G27" s="20">
        <v>34000</v>
      </c>
      <c r="H27" s="10" t="s">
        <v>535</v>
      </c>
    </row>
    <row r="28" spans="1:8">
      <c r="A28" s="15" t="s">
        <v>586</v>
      </c>
      <c r="B28" s="16">
        <v>44545</v>
      </c>
      <c r="C28" s="16">
        <v>45013</v>
      </c>
      <c r="D28" s="17" t="s">
        <v>587</v>
      </c>
      <c r="E28" s="17">
        <v>60000</v>
      </c>
      <c r="F28" s="17">
        <f t="shared" si="0"/>
        <v>2</v>
      </c>
      <c r="G28" s="17">
        <v>21000</v>
      </c>
      <c r="H28" s="9" t="s">
        <v>535</v>
      </c>
    </row>
    <row r="29" spans="1:8">
      <c r="A29" s="18" t="s">
        <v>588</v>
      </c>
      <c r="B29" s="19">
        <v>44566</v>
      </c>
      <c r="C29" s="19">
        <v>45211</v>
      </c>
      <c r="D29" s="20" t="s">
        <v>589</v>
      </c>
      <c r="E29" s="20">
        <v>100000</v>
      </c>
      <c r="F29" s="20">
        <f t="shared" si="0"/>
        <v>2.5</v>
      </c>
      <c r="G29" s="20">
        <v>46000</v>
      </c>
      <c r="H29" s="10" t="s">
        <v>535</v>
      </c>
    </row>
    <row r="30" spans="1:8">
      <c r="A30" s="15" t="s">
        <v>590</v>
      </c>
      <c r="B30" s="16">
        <v>44579</v>
      </c>
      <c r="C30" s="16">
        <v>45071</v>
      </c>
      <c r="D30" s="17" t="s">
        <v>591</v>
      </c>
      <c r="E30" s="17">
        <v>45000</v>
      </c>
      <c r="F30" s="17">
        <f t="shared" si="0"/>
        <v>2</v>
      </c>
      <c r="G30" s="17">
        <v>15000</v>
      </c>
      <c r="H30" s="9" t="s">
        <v>535</v>
      </c>
    </row>
    <row r="31" spans="1:8">
      <c r="A31" s="18" t="s">
        <v>592</v>
      </c>
      <c r="B31" s="19">
        <v>44593</v>
      </c>
      <c r="C31" s="19">
        <v>45278</v>
      </c>
      <c r="D31" s="20" t="s">
        <v>593</v>
      </c>
      <c r="E31" s="20">
        <v>120000</v>
      </c>
      <c r="F31" s="20">
        <f t="shared" si="0"/>
        <v>2.5</v>
      </c>
      <c r="G31" s="20">
        <v>55000</v>
      </c>
      <c r="H31" s="10" t="s">
        <v>535</v>
      </c>
    </row>
    <row r="32" spans="1:8">
      <c r="A32" s="15" t="s">
        <v>594</v>
      </c>
      <c r="B32" s="16">
        <v>44606</v>
      </c>
      <c r="C32" s="16">
        <v>45115</v>
      </c>
      <c r="D32" s="17" t="s">
        <v>595</v>
      </c>
      <c r="E32" s="17">
        <v>70000</v>
      </c>
      <c r="F32" s="17">
        <f t="shared" si="0"/>
        <v>2</v>
      </c>
      <c r="G32" s="17">
        <v>26000</v>
      </c>
      <c r="H32" s="9" t="s">
        <v>535</v>
      </c>
    </row>
    <row r="33" spans="1:8">
      <c r="A33" s="18" t="s">
        <v>596</v>
      </c>
      <c r="B33" s="19">
        <v>44620</v>
      </c>
      <c r="C33" s="19">
        <v>45036</v>
      </c>
      <c r="D33" s="20" t="s">
        <v>597</v>
      </c>
      <c r="E33" s="20">
        <v>35000</v>
      </c>
      <c r="F33" s="20">
        <f t="shared" si="0"/>
        <v>2</v>
      </c>
      <c r="G33" s="20">
        <v>10000</v>
      </c>
      <c r="H33" s="10" t="s">
        <v>535</v>
      </c>
    </row>
    <row r="34" spans="1:8">
      <c r="A34" s="15" t="s">
        <v>598</v>
      </c>
      <c r="B34" s="16">
        <v>44630</v>
      </c>
      <c r="C34" s="16">
        <v>45183</v>
      </c>
      <c r="D34" s="17" t="s">
        <v>599</v>
      </c>
      <c r="E34" s="17">
        <v>90000</v>
      </c>
      <c r="F34" s="17">
        <f t="shared" si="0"/>
        <v>2</v>
      </c>
      <c r="G34" s="17">
        <v>39000</v>
      </c>
      <c r="H34" s="9" t="s">
        <v>535</v>
      </c>
    </row>
    <row r="35" spans="1:8">
      <c r="A35" s="18" t="s">
        <v>600</v>
      </c>
      <c r="B35" s="19">
        <v>44644</v>
      </c>
      <c r="C35" s="19">
        <v>45082</v>
      </c>
      <c r="D35" s="20" t="s">
        <v>601</v>
      </c>
      <c r="E35" s="20">
        <v>50000</v>
      </c>
      <c r="F35" s="20">
        <f t="shared" si="0"/>
        <v>2</v>
      </c>
      <c r="G35" s="20">
        <v>17000</v>
      </c>
      <c r="H35" s="10" t="s">
        <v>535</v>
      </c>
    </row>
    <row r="36" spans="1:8">
      <c r="A36" s="15" t="s">
        <v>602</v>
      </c>
      <c r="B36" s="16">
        <v>44659</v>
      </c>
      <c r="C36" s="16">
        <v>45313</v>
      </c>
      <c r="D36" s="17" t="s">
        <v>603</v>
      </c>
      <c r="E36" s="17">
        <v>150000</v>
      </c>
      <c r="F36" s="17">
        <f t="shared" si="0"/>
        <v>2.5</v>
      </c>
      <c r="G36" s="17">
        <v>72000</v>
      </c>
      <c r="H36" s="9" t="s">
        <v>535</v>
      </c>
    </row>
    <row r="37" spans="1:8">
      <c r="A37" s="18" t="s">
        <v>604</v>
      </c>
      <c r="B37" s="19">
        <v>44673</v>
      </c>
      <c r="C37" s="19">
        <v>45148</v>
      </c>
      <c r="D37" s="20" t="s">
        <v>605</v>
      </c>
      <c r="E37" s="20">
        <v>65000</v>
      </c>
      <c r="F37" s="20">
        <f t="shared" si="0"/>
        <v>2</v>
      </c>
      <c r="G37" s="20">
        <v>23000</v>
      </c>
      <c r="H37" s="10" t="s">
        <v>535</v>
      </c>
    </row>
    <row r="38" spans="1:8">
      <c r="A38" s="15" t="s">
        <v>606</v>
      </c>
      <c r="B38" s="16">
        <v>44686</v>
      </c>
      <c r="C38" s="16">
        <v>45350</v>
      </c>
      <c r="D38" s="17" t="s">
        <v>607</v>
      </c>
      <c r="E38" s="17">
        <v>110000</v>
      </c>
      <c r="F38" s="17">
        <f t="shared" si="0"/>
        <v>2.5</v>
      </c>
      <c r="G38" s="17">
        <v>51000</v>
      </c>
      <c r="H38" s="9" t="s">
        <v>535</v>
      </c>
    </row>
    <row r="39" spans="1:8">
      <c r="A39" s="18" t="s">
        <v>608</v>
      </c>
      <c r="B39" s="19">
        <v>44699</v>
      </c>
      <c r="C39" s="19">
        <v>45245</v>
      </c>
      <c r="D39" s="20" t="s">
        <v>609</v>
      </c>
      <c r="E39" s="20">
        <v>40000</v>
      </c>
      <c r="F39" s="20">
        <f t="shared" si="0"/>
        <v>2</v>
      </c>
      <c r="G39" s="20">
        <v>13000</v>
      </c>
      <c r="H39" s="10" t="s">
        <v>535</v>
      </c>
    </row>
    <row r="40" spans="1:8">
      <c r="A40" s="15" t="s">
        <v>610</v>
      </c>
      <c r="B40" s="16">
        <v>44714</v>
      </c>
      <c r="C40" s="16">
        <v>45419</v>
      </c>
      <c r="D40" s="17" t="s">
        <v>611</v>
      </c>
      <c r="E40" s="17">
        <v>95000</v>
      </c>
      <c r="F40" s="17">
        <f t="shared" si="0"/>
        <v>2.5</v>
      </c>
      <c r="G40" s="17">
        <v>43000</v>
      </c>
      <c r="H40" s="9" t="s">
        <v>535</v>
      </c>
    </row>
    <row r="41" spans="1:8">
      <c r="A41" s="18" t="s">
        <v>612</v>
      </c>
      <c r="B41" s="19">
        <v>44727</v>
      </c>
      <c r="C41" s="19">
        <v>45187</v>
      </c>
      <c r="D41" s="20" t="s">
        <v>613</v>
      </c>
      <c r="E41" s="20">
        <v>75000</v>
      </c>
      <c r="F41" s="20">
        <f t="shared" si="0"/>
        <v>2</v>
      </c>
      <c r="G41" s="20">
        <v>29000</v>
      </c>
      <c r="H41" s="10" t="s">
        <v>535</v>
      </c>
    </row>
    <row r="42" spans="1:8">
      <c r="A42" s="15" t="s">
        <v>614</v>
      </c>
      <c r="B42" s="16">
        <v>44743</v>
      </c>
      <c r="C42" s="16">
        <v>45363</v>
      </c>
      <c r="D42" s="17" t="s">
        <v>615</v>
      </c>
      <c r="E42" s="17">
        <v>130000</v>
      </c>
      <c r="F42" s="17">
        <f t="shared" si="0"/>
        <v>2.5</v>
      </c>
      <c r="G42" s="17">
        <v>61000</v>
      </c>
      <c r="H42" s="9" t="s">
        <v>535</v>
      </c>
    </row>
    <row r="43" spans="1:8">
      <c r="A43" s="18" t="s">
        <v>616</v>
      </c>
      <c r="B43" s="19">
        <v>44756</v>
      </c>
      <c r="C43" s="19">
        <v>45224</v>
      </c>
      <c r="D43" s="20" t="s">
        <v>617</v>
      </c>
      <c r="E43" s="20">
        <v>55000</v>
      </c>
      <c r="F43" s="20">
        <f t="shared" si="0"/>
        <v>2</v>
      </c>
      <c r="G43" s="20">
        <v>19000</v>
      </c>
      <c r="H43" s="10" t="s">
        <v>535</v>
      </c>
    </row>
    <row r="44" spans="1:8">
      <c r="A44" s="15" t="s">
        <v>618</v>
      </c>
      <c r="B44" s="16">
        <v>44770</v>
      </c>
      <c r="C44" s="16">
        <v>45299</v>
      </c>
      <c r="D44" s="17" t="s">
        <v>619</v>
      </c>
      <c r="E44" s="17">
        <v>85000</v>
      </c>
      <c r="F44" s="17">
        <f t="shared" si="0"/>
        <v>2</v>
      </c>
      <c r="G44" s="17">
        <v>36000</v>
      </c>
      <c r="H44" s="9" t="s">
        <v>535</v>
      </c>
    </row>
    <row r="45" spans="1:8">
      <c r="A45" s="18" t="s">
        <v>620</v>
      </c>
      <c r="B45" s="19">
        <v>44783</v>
      </c>
      <c r="C45" s="19">
        <v>45097</v>
      </c>
      <c r="D45" s="20" t="s">
        <v>621</v>
      </c>
      <c r="E45" s="20">
        <v>30000</v>
      </c>
      <c r="F45" s="20">
        <f t="shared" si="0"/>
        <v>2</v>
      </c>
      <c r="G45" s="20">
        <v>8500</v>
      </c>
      <c r="H45" s="10" t="s">
        <v>535</v>
      </c>
    </row>
    <row r="46" spans="1:8">
      <c r="A46" s="15" t="s">
        <v>622</v>
      </c>
      <c r="B46" s="16">
        <v>44798</v>
      </c>
      <c r="C46" s="16">
        <v>45397</v>
      </c>
      <c r="D46" s="17" t="s">
        <v>623</v>
      </c>
      <c r="E46" s="17">
        <v>140000</v>
      </c>
      <c r="F46" s="17">
        <f t="shared" si="0"/>
        <v>2.5</v>
      </c>
      <c r="G46" s="17">
        <v>68000</v>
      </c>
      <c r="H46" s="9" t="s">
        <v>535</v>
      </c>
    </row>
    <row r="47" spans="1:8">
      <c r="A47" s="18" t="s">
        <v>624</v>
      </c>
      <c r="B47" s="19">
        <v>44812</v>
      </c>
      <c r="C47" s="19">
        <v>45288</v>
      </c>
      <c r="D47" s="20" t="s">
        <v>625</v>
      </c>
      <c r="E47" s="20">
        <v>60000</v>
      </c>
      <c r="F47" s="20">
        <f t="shared" si="0"/>
        <v>2</v>
      </c>
      <c r="G47" s="20">
        <v>22000</v>
      </c>
      <c r="H47" s="10" t="s">
        <v>535</v>
      </c>
    </row>
    <row r="48" spans="1:8">
      <c r="A48" s="15" t="s">
        <v>626</v>
      </c>
      <c r="B48" s="16">
        <v>44826</v>
      </c>
      <c r="C48" s="16">
        <v>45483</v>
      </c>
      <c r="D48" s="17" t="s">
        <v>627</v>
      </c>
      <c r="E48" s="17">
        <v>105000</v>
      </c>
      <c r="F48" s="17">
        <f t="shared" si="0"/>
        <v>2.5</v>
      </c>
      <c r="G48" s="17">
        <v>49000</v>
      </c>
      <c r="H48" s="9" t="s">
        <v>535</v>
      </c>
    </row>
    <row r="49" spans="1:8">
      <c r="A49" s="18" t="s">
        <v>628</v>
      </c>
      <c r="B49" s="19">
        <v>44839</v>
      </c>
      <c r="C49" s="19">
        <v>45344</v>
      </c>
      <c r="D49" s="20" t="s">
        <v>629</v>
      </c>
      <c r="E49" s="20">
        <v>45000</v>
      </c>
      <c r="F49" s="20">
        <f t="shared" si="0"/>
        <v>2</v>
      </c>
      <c r="G49" s="20">
        <v>15000</v>
      </c>
      <c r="H49" s="10" t="s">
        <v>535</v>
      </c>
    </row>
    <row r="50" spans="1:8">
      <c r="A50" s="15" t="s">
        <v>630</v>
      </c>
      <c r="B50" s="16">
        <v>44852</v>
      </c>
      <c r="C50" s="16">
        <v>45512</v>
      </c>
      <c r="D50" s="17" t="s">
        <v>631</v>
      </c>
      <c r="E50" s="17">
        <v>160000</v>
      </c>
      <c r="F50" s="17">
        <f t="shared" si="0"/>
        <v>2.5</v>
      </c>
      <c r="G50" s="17">
        <v>78000</v>
      </c>
      <c r="H50" s="9" t="s">
        <v>535</v>
      </c>
    </row>
    <row r="51" spans="1:8">
      <c r="A51" s="18" t="s">
        <v>632</v>
      </c>
      <c r="B51" s="19">
        <v>44866</v>
      </c>
      <c r="C51" s="19">
        <v>45430</v>
      </c>
      <c r="D51" s="20" t="s">
        <v>633</v>
      </c>
      <c r="E51" s="20">
        <v>70000</v>
      </c>
      <c r="F51" s="20">
        <f t="shared" si="0"/>
        <v>2</v>
      </c>
      <c r="G51" s="20">
        <v>27000</v>
      </c>
      <c r="H51" s="10" t="s">
        <v>535</v>
      </c>
    </row>
    <row r="52" spans="1:8">
      <c r="A52" s="15" t="s">
        <v>634</v>
      </c>
      <c r="B52" s="16">
        <v>44880</v>
      </c>
      <c r="C52" s="16">
        <v>45498</v>
      </c>
      <c r="D52" s="17" t="s">
        <v>635</v>
      </c>
      <c r="E52" s="17">
        <v>90000</v>
      </c>
      <c r="F52" s="17">
        <f t="shared" si="0"/>
        <v>2.5</v>
      </c>
      <c r="G52" s="17">
        <v>42000</v>
      </c>
      <c r="H52" s="9" t="s">
        <v>535</v>
      </c>
    </row>
    <row r="53" spans="1:8">
      <c r="A53" s="18" t="s">
        <v>636</v>
      </c>
      <c r="B53" s="19">
        <v>44893</v>
      </c>
      <c r="C53" s="19">
        <v>45363</v>
      </c>
      <c r="D53" s="20" t="s">
        <v>637</v>
      </c>
      <c r="E53" s="20">
        <v>50000</v>
      </c>
      <c r="F53" s="20">
        <f t="shared" si="0"/>
        <v>2</v>
      </c>
      <c r="G53" s="20">
        <v>18000</v>
      </c>
      <c r="H53" s="10" t="s">
        <v>535</v>
      </c>
    </row>
    <row r="54" spans="1:8">
      <c r="A54" s="15" t="s">
        <v>638</v>
      </c>
      <c r="B54" s="16">
        <v>44905</v>
      </c>
      <c r="C54" s="16">
        <v>45512</v>
      </c>
      <c r="D54" s="17" t="s">
        <v>639</v>
      </c>
      <c r="E54" s="17">
        <v>120000</v>
      </c>
      <c r="F54" s="17">
        <f t="shared" si="0"/>
        <v>2.5</v>
      </c>
      <c r="G54" s="17">
        <v>58000</v>
      </c>
      <c r="H54" s="9" t="s">
        <v>535</v>
      </c>
    </row>
    <row r="55" spans="1:8">
      <c r="A55" s="18" t="s">
        <v>640</v>
      </c>
      <c r="B55" s="19">
        <v>44917</v>
      </c>
      <c r="C55" s="19">
        <v>45400</v>
      </c>
      <c r="D55" s="20" t="s">
        <v>641</v>
      </c>
      <c r="E55" s="20">
        <v>65000</v>
      </c>
      <c r="F55" s="20">
        <f t="shared" si="0"/>
        <v>2</v>
      </c>
      <c r="G55" s="20">
        <v>24000</v>
      </c>
      <c r="H55" s="10" t="s">
        <v>535</v>
      </c>
    </row>
    <row r="56" spans="1:8">
      <c r="A56" s="15" t="s">
        <v>642</v>
      </c>
      <c r="B56" s="16">
        <v>44931</v>
      </c>
      <c r="C56" s="16">
        <v>45555</v>
      </c>
      <c r="D56" s="17" t="s">
        <v>643</v>
      </c>
      <c r="E56" s="17">
        <v>75000</v>
      </c>
      <c r="F56" s="17">
        <f t="shared" si="0"/>
        <v>2</v>
      </c>
      <c r="G56" s="17">
        <v>31000</v>
      </c>
      <c r="H56" s="9" t="s">
        <v>535</v>
      </c>
    </row>
    <row r="57" spans="1:8">
      <c r="A57" s="18" t="s">
        <v>644</v>
      </c>
      <c r="B57" s="19">
        <v>44944</v>
      </c>
      <c r="C57" s="19">
        <v>45414</v>
      </c>
      <c r="D57" s="20" t="s">
        <v>645</v>
      </c>
      <c r="E57" s="20">
        <v>100000</v>
      </c>
      <c r="F57" s="20">
        <f t="shared" si="0"/>
        <v>2.5</v>
      </c>
      <c r="G57" s="20">
        <v>47000</v>
      </c>
      <c r="H57" s="10" t="s">
        <v>535</v>
      </c>
    </row>
    <row r="58" spans="1:8">
      <c r="A58" s="15" t="s">
        <v>646</v>
      </c>
      <c r="B58" s="16">
        <v>44958</v>
      </c>
      <c r="C58" s="16">
        <v>45611</v>
      </c>
      <c r="D58" s="17" t="s">
        <v>647</v>
      </c>
      <c r="E58" s="17">
        <v>55000</v>
      </c>
      <c r="F58" s="17">
        <f t="shared" si="0"/>
        <v>2</v>
      </c>
      <c r="G58" s="17">
        <v>21000</v>
      </c>
      <c r="H58" s="9" t="s">
        <v>535</v>
      </c>
    </row>
    <row r="59" spans="1:8">
      <c r="A59" s="18" t="s">
        <v>648</v>
      </c>
      <c r="B59" s="19">
        <v>44971</v>
      </c>
      <c r="C59" s="19">
        <v>45471</v>
      </c>
      <c r="D59" s="20" t="s">
        <v>649</v>
      </c>
      <c r="E59" s="20">
        <v>130000</v>
      </c>
      <c r="F59" s="20">
        <f t="shared" si="0"/>
        <v>2.5</v>
      </c>
      <c r="G59" s="20">
        <v>62000</v>
      </c>
      <c r="H59" s="10" t="s">
        <v>535</v>
      </c>
    </row>
    <row r="60" spans="1:8">
      <c r="A60" s="15" t="s">
        <v>650</v>
      </c>
      <c r="B60" s="16">
        <v>44985</v>
      </c>
      <c r="C60" s="16">
        <v>45667</v>
      </c>
      <c r="D60" s="17" t="s">
        <v>651</v>
      </c>
      <c r="E60" s="17">
        <v>85000</v>
      </c>
      <c r="F60" s="17">
        <f t="shared" si="0"/>
        <v>2.5</v>
      </c>
      <c r="G60" s="17">
        <v>39000</v>
      </c>
      <c r="H60" s="9" t="s">
        <v>535</v>
      </c>
    </row>
    <row r="61" spans="1:8">
      <c r="A61" s="18" t="s">
        <v>652</v>
      </c>
      <c r="B61" s="19">
        <v>44997</v>
      </c>
      <c r="C61" s="19">
        <v>45495</v>
      </c>
      <c r="D61" s="20" t="s">
        <v>653</v>
      </c>
      <c r="E61" s="20">
        <v>45000</v>
      </c>
      <c r="F61" s="20">
        <f t="shared" si="0"/>
        <v>2</v>
      </c>
      <c r="G61" s="20">
        <v>15000</v>
      </c>
      <c r="H61" s="10" t="s">
        <v>535</v>
      </c>
    </row>
    <row r="62" spans="1:8">
      <c r="A62" s="15" t="s">
        <v>654</v>
      </c>
      <c r="B62" s="16">
        <v>45010</v>
      </c>
      <c r="C62" s="16">
        <v>45631</v>
      </c>
      <c r="D62" s="17" t="s">
        <v>655</v>
      </c>
      <c r="E62" s="17">
        <v>150000</v>
      </c>
      <c r="F62" s="17">
        <f t="shared" si="0"/>
        <v>2.5</v>
      </c>
      <c r="G62" s="17">
        <v>73000</v>
      </c>
      <c r="H62" s="9" t="s">
        <v>535</v>
      </c>
    </row>
    <row r="63" spans="1:8">
      <c r="A63" s="18" t="s">
        <v>656</v>
      </c>
      <c r="B63" s="19">
        <v>45024</v>
      </c>
      <c r="C63" s="19">
        <v>45522</v>
      </c>
      <c r="D63" s="20" t="s">
        <v>657</v>
      </c>
      <c r="E63" s="20">
        <v>70000</v>
      </c>
      <c r="F63" s="20">
        <f t="shared" si="0"/>
        <v>2</v>
      </c>
      <c r="G63" s="20">
        <v>27000</v>
      </c>
      <c r="H63" s="10" t="s">
        <v>535</v>
      </c>
    </row>
    <row r="64" spans="1:8">
      <c r="A64" s="15" t="s">
        <v>658</v>
      </c>
      <c r="B64" s="16">
        <v>45038</v>
      </c>
      <c r="C64" s="16">
        <v>45690</v>
      </c>
      <c r="D64" s="17" t="s">
        <v>659</v>
      </c>
      <c r="E64" s="17">
        <v>95000</v>
      </c>
      <c r="F64" s="17">
        <f t="shared" si="0"/>
        <v>2.5</v>
      </c>
      <c r="G64" s="17">
        <v>44000</v>
      </c>
      <c r="H64" s="9" t="s">
        <v>535</v>
      </c>
    </row>
    <row r="65" spans="1:8">
      <c r="A65" s="18" t="s">
        <v>660</v>
      </c>
      <c r="B65" s="19">
        <v>45051</v>
      </c>
      <c r="C65" s="19">
        <v>45550</v>
      </c>
      <c r="D65" s="20" t="s">
        <v>661</v>
      </c>
      <c r="E65" s="20">
        <v>40000</v>
      </c>
      <c r="F65" s="20">
        <f t="shared" si="0"/>
        <v>2</v>
      </c>
      <c r="G65" s="20">
        <v>12500</v>
      </c>
      <c r="H65" s="10" t="s">
        <v>535</v>
      </c>
    </row>
    <row r="66" spans="1:8">
      <c r="A66" s="15" t="s">
        <v>662</v>
      </c>
      <c r="B66" s="16">
        <v>45064</v>
      </c>
      <c r="C66" s="16">
        <v>45744</v>
      </c>
      <c r="D66" s="17" t="s">
        <v>663</v>
      </c>
      <c r="E66" s="17">
        <v>110000</v>
      </c>
      <c r="F66" s="17">
        <f t="shared" si="0"/>
        <v>2.5</v>
      </c>
      <c r="G66" s="17">
        <v>52000</v>
      </c>
      <c r="H66" s="9" t="s">
        <v>535</v>
      </c>
    </row>
    <row r="67" spans="1:8">
      <c r="A67" s="18" t="s">
        <v>664</v>
      </c>
      <c r="B67" s="19">
        <v>45078</v>
      </c>
      <c r="C67" s="19">
        <v>45575</v>
      </c>
      <c r="D67" s="20" t="s">
        <v>665</v>
      </c>
      <c r="E67" s="20">
        <v>60000</v>
      </c>
      <c r="F67" s="20">
        <f t="shared" ref="F67:F116" si="1">IF(G67/E67&gt;0.45,2.5,IF(G67/E67&gt;0.25,2,1.5))</f>
        <v>2</v>
      </c>
      <c r="G67" s="20">
        <v>22000</v>
      </c>
      <c r="H67" s="10" t="s">
        <v>535</v>
      </c>
    </row>
    <row r="68" spans="1:8">
      <c r="A68" s="15" t="s">
        <v>666</v>
      </c>
      <c r="B68" s="16">
        <v>45091</v>
      </c>
      <c r="C68" s="16">
        <v>45769</v>
      </c>
      <c r="D68" s="17" t="s">
        <v>667</v>
      </c>
      <c r="E68" s="17">
        <v>140000</v>
      </c>
      <c r="F68" s="17">
        <f t="shared" si="1"/>
        <v>2.5</v>
      </c>
      <c r="G68" s="17">
        <v>68000</v>
      </c>
      <c r="H68" s="9" t="s">
        <v>535</v>
      </c>
    </row>
    <row r="69" spans="1:8">
      <c r="A69" s="18" t="s">
        <v>668</v>
      </c>
      <c r="B69" s="19">
        <v>45105</v>
      </c>
      <c r="C69" s="19">
        <v>45634</v>
      </c>
      <c r="D69" s="20" t="s">
        <v>669</v>
      </c>
      <c r="E69" s="20">
        <v>50000</v>
      </c>
      <c r="F69" s="20">
        <f t="shared" si="1"/>
        <v>2</v>
      </c>
      <c r="G69" s="20">
        <v>17500</v>
      </c>
      <c r="H69" s="10" t="s">
        <v>535</v>
      </c>
    </row>
    <row r="70" spans="1:8">
      <c r="A70" s="15" t="s">
        <v>670</v>
      </c>
      <c r="B70" s="16">
        <v>45119</v>
      </c>
      <c r="C70" s="16">
        <v>45795</v>
      </c>
      <c r="D70" s="17" t="s">
        <v>671</v>
      </c>
      <c r="E70" s="17">
        <v>125000</v>
      </c>
      <c r="F70" s="17">
        <f t="shared" si="1"/>
        <v>2.5</v>
      </c>
      <c r="G70" s="17">
        <v>60000</v>
      </c>
      <c r="H70" s="9" t="s">
        <v>535</v>
      </c>
    </row>
    <row r="71" spans="1:8">
      <c r="A71" s="18" t="s">
        <v>672</v>
      </c>
      <c r="B71" s="19">
        <v>45132</v>
      </c>
      <c r="C71" s="19">
        <v>45659</v>
      </c>
      <c r="D71" s="20" t="s">
        <v>673</v>
      </c>
      <c r="E71" s="20">
        <v>80000</v>
      </c>
      <c r="F71" s="20">
        <f t="shared" si="1"/>
        <v>2</v>
      </c>
      <c r="G71" s="20">
        <v>35000</v>
      </c>
      <c r="H71" s="10" t="s">
        <v>535</v>
      </c>
    </row>
    <row r="72" spans="1:8">
      <c r="A72" s="15" t="s">
        <v>674</v>
      </c>
      <c r="B72" s="16">
        <v>45146</v>
      </c>
      <c r="C72" s="16">
        <v>45853</v>
      </c>
      <c r="D72" s="17" t="s">
        <v>675</v>
      </c>
      <c r="E72" s="17">
        <v>105000</v>
      </c>
      <c r="F72" s="17">
        <f t="shared" si="1"/>
        <v>2.5</v>
      </c>
      <c r="G72" s="17">
        <v>49000</v>
      </c>
      <c r="H72" s="9" t="s">
        <v>535</v>
      </c>
    </row>
    <row r="73" spans="1:8">
      <c r="A73" s="18" t="s">
        <v>676</v>
      </c>
      <c r="B73" s="19">
        <v>45160</v>
      </c>
      <c r="C73" s="19">
        <v>45716</v>
      </c>
      <c r="D73" s="20" t="s">
        <v>677</v>
      </c>
      <c r="E73" s="20">
        <v>65000</v>
      </c>
      <c r="F73" s="20">
        <f t="shared" si="1"/>
        <v>2</v>
      </c>
      <c r="G73" s="20">
        <v>24000</v>
      </c>
      <c r="H73" s="10" t="s">
        <v>535</v>
      </c>
    </row>
    <row r="74" spans="1:8">
      <c r="A74" s="15" t="s">
        <v>678</v>
      </c>
      <c r="B74" s="16">
        <v>45174</v>
      </c>
      <c r="C74" s="16">
        <v>45879</v>
      </c>
      <c r="D74" s="17" t="s">
        <v>679</v>
      </c>
      <c r="E74" s="17">
        <v>135000</v>
      </c>
      <c r="F74" s="17">
        <f t="shared" si="1"/>
        <v>2.5</v>
      </c>
      <c r="G74" s="17">
        <v>64000</v>
      </c>
      <c r="H74" s="9" t="s">
        <v>535</v>
      </c>
    </row>
    <row r="75" spans="1:8">
      <c r="A75" s="18" t="s">
        <v>680</v>
      </c>
      <c r="B75" s="19">
        <v>45187</v>
      </c>
      <c r="C75" s="19">
        <v>45738</v>
      </c>
      <c r="D75" s="20" t="s">
        <v>563</v>
      </c>
      <c r="E75" s="20">
        <v>55000</v>
      </c>
      <c r="F75" s="20">
        <f t="shared" si="1"/>
        <v>2</v>
      </c>
      <c r="G75" s="20">
        <v>19000</v>
      </c>
      <c r="H75" s="10" t="s">
        <v>535</v>
      </c>
    </row>
    <row r="76" spans="1:8">
      <c r="A76" s="15" t="s">
        <v>681</v>
      </c>
      <c r="B76" s="16">
        <v>45200</v>
      </c>
      <c r="C76" s="16">
        <v>45905</v>
      </c>
      <c r="D76" s="17" t="s">
        <v>682</v>
      </c>
      <c r="E76" s="17">
        <v>90000</v>
      </c>
      <c r="F76" s="17">
        <f t="shared" si="1"/>
        <v>2.5</v>
      </c>
      <c r="G76" s="17">
        <v>42000</v>
      </c>
      <c r="H76" s="9" t="s">
        <v>535</v>
      </c>
    </row>
    <row r="77" spans="1:8">
      <c r="A77" s="18" t="s">
        <v>683</v>
      </c>
      <c r="B77" s="19">
        <v>45214</v>
      </c>
      <c r="C77" s="19">
        <v>45669</v>
      </c>
      <c r="D77" s="20" t="s">
        <v>684</v>
      </c>
      <c r="E77" s="20">
        <v>75000</v>
      </c>
      <c r="F77" s="20">
        <f t="shared" si="1"/>
        <v>2</v>
      </c>
      <c r="G77" s="20">
        <v>32000</v>
      </c>
      <c r="H77" s="10" t="s">
        <v>535</v>
      </c>
    </row>
    <row r="78" spans="1:8">
      <c r="A78" s="15" t="s">
        <v>685</v>
      </c>
      <c r="B78" s="16">
        <v>45227</v>
      </c>
      <c r="C78" s="16">
        <v>45713</v>
      </c>
      <c r="D78" s="17" t="s">
        <v>686</v>
      </c>
      <c r="E78" s="17">
        <v>50000</v>
      </c>
      <c r="F78" s="17">
        <f t="shared" si="1"/>
        <v>2</v>
      </c>
      <c r="G78" s="17">
        <v>18000</v>
      </c>
      <c r="H78" s="9" t="s">
        <v>535</v>
      </c>
    </row>
    <row r="79" spans="1:8">
      <c r="A79" s="18" t="s">
        <v>687</v>
      </c>
      <c r="B79" s="19">
        <v>45240</v>
      </c>
      <c r="C79" s="19">
        <v>45734</v>
      </c>
      <c r="D79" s="20" t="s">
        <v>688</v>
      </c>
      <c r="E79" s="20">
        <v>120000</v>
      </c>
      <c r="F79" s="20">
        <f t="shared" si="1"/>
        <v>2.5</v>
      </c>
      <c r="G79" s="20">
        <v>55000</v>
      </c>
      <c r="H79" s="10" t="s">
        <v>535</v>
      </c>
    </row>
    <row r="80" spans="1:8">
      <c r="A80" s="15" t="s">
        <v>689</v>
      </c>
      <c r="B80" s="16">
        <v>45252</v>
      </c>
      <c r="C80" s="16">
        <v>45757</v>
      </c>
      <c r="D80" s="17" t="s">
        <v>690</v>
      </c>
      <c r="E80" s="17">
        <v>65000</v>
      </c>
      <c r="F80" s="17">
        <f t="shared" si="1"/>
        <v>2</v>
      </c>
      <c r="G80" s="17">
        <v>24000</v>
      </c>
      <c r="H80" s="9" t="s">
        <v>535</v>
      </c>
    </row>
    <row r="81" spans="1:8">
      <c r="A81" s="18" t="s">
        <v>691</v>
      </c>
      <c r="B81" s="19">
        <v>45265</v>
      </c>
      <c r="C81" s="19">
        <v>45799</v>
      </c>
      <c r="D81" s="20" t="s">
        <v>692</v>
      </c>
      <c r="E81" s="20">
        <v>90000</v>
      </c>
      <c r="F81" s="20">
        <f t="shared" si="1"/>
        <v>2.5</v>
      </c>
      <c r="G81" s="20">
        <v>42000</v>
      </c>
      <c r="H81" s="10" t="s">
        <v>535</v>
      </c>
    </row>
    <row r="82" spans="1:8">
      <c r="A82" s="15" t="s">
        <v>693</v>
      </c>
      <c r="B82" s="16">
        <v>45278</v>
      </c>
      <c r="C82" s="16">
        <v>45823</v>
      </c>
      <c r="D82" s="17" t="s">
        <v>694</v>
      </c>
      <c r="E82" s="17">
        <v>45000</v>
      </c>
      <c r="F82" s="17">
        <f t="shared" si="1"/>
        <v>2</v>
      </c>
      <c r="G82" s="17">
        <v>15000</v>
      </c>
      <c r="H82" s="9" t="s">
        <v>535</v>
      </c>
    </row>
    <row r="83" spans="1:8">
      <c r="A83" s="18" t="s">
        <v>695</v>
      </c>
      <c r="B83" s="19">
        <v>45299</v>
      </c>
      <c r="C83" s="19">
        <v>45866</v>
      </c>
      <c r="D83" s="20" t="s">
        <v>696</v>
      </c>
      <c r="E83" s="20">
        <v>130000</v>
      </c>
      <c r="F83" s="20">
        <f t="shared" si="1"/>
        <v>2.5</v>
      </c>
      <c r="G83" s="20">
        <v>62000</v>
      </c>
      <c r="H83" s="10" t="s">
        <v>535</v>
      </c>
    </row>
    <row r="84" spans="1:8">
      <c r="A84" s="15" t="s">
        <v>697</v>
      </c>
      <c r="B84" s="16">
        <v>45311</v>
      </c>
      <c r="C84" s="16">
        <v>45879</v>
      </c>
      <c r="D84" s="17" t="s">
        <v>698</v>
      </c>
      <c r="E84" s="17">
        <v>70000</v>
      </c>
      <c r="F84" s="17">
        <f t="shared" si="1"/>
        <v>2</v>
      </c>
      <c r="G84" s="17">
        <v>28000</v>
      </c>
      <c r="H84" s="9" t="s">
        <v>535</v>
      </c>
    </row>
    <row r="85" spans="1:8">
      <c r="A85" s="18" t="s">
        <v>699</v>
      </c>
      <c r="B85" s="19">
        <v>45327</v>
      </c>
      <c r="C85" s="19">
        <v>45922</v>
      </c>
      <c r="D85" s="20" t="s">
        <v>700</v>
      </c>
      <c r="E85" s="20">
        <v>100000</v>
      </c>
      <c r="F85" s="20">
        <f t="shared" si="1"/>
        <v>2.5</v>
      </c>
      <c r="G85" s="20">
        <v>47000</v>
      </c>
      <c r="H85" s="10" t="s">
        <v>535</v>
      </c>
    </row>
    <row r="86" spans="1:8">
      <c r="A86" s="15" t="s">
        <v>701</v>
      </c>
      <c r="B86" s="16">
        <v>45340</v>
      </c>
      <c r="C86" s="16">
        <v>45945</v>
      </c>
      <c r="D86" s="17" t="s">
        <v>702</v>
      </c>
      <c r="E86" s="17">
        <v>55000</v>
      </c>
      <c r="F86" s="17">
        <f t="shared" si="1"/>
        <v>2</v>
      </c>
      <c r="G86" s="17">
        <v>19000</v>
      </c>
      <c r="H86" s="9" t="s">
        <v>535</v>
      </c>
    </row>
    <row r="87" spans="1:8">
      <c r="A87" s="18" t="s">
        <v>703</v>
      </c>
      <c r="B87" s="19">
        <v>45353</v>
      </c>
      <c r="C87" s="19">
        <v>45989</v>
      </c>
      <c r="D87" s="20" t="s">
        <v>704</v>
      </c>
      <c r="E87" s="20">
        <v>150000</v>
      </c>
      <c r="F87" s="20">
        <f t="shared" si="1"/>
        <v>2.5</v>
      </c>
      <c r="G87" s="20">
        <v>72000</v>
      </c>
      <c r="H87" s="10" t="s">
        <v>535</v>
      </c>
    </row>
    <row r="88" spans="1:8">
      <c r="A88" s="15" t="s">
        <v>705</v>
      </c>
      <c r="B88" s="16">
        <v>45366</v>
      </c>
      <c r="C88" s="16">
        <v>46001</v>
      </c>
      <c r="D88" s="17" t="s">
        <v>706</v>
      </c>
      <c r="E88" s="17">
        <v>80000</v>
      </c>
      <c r="F88" s="17">
        <f t="shared" si="1"/>
        <v>2</v>
      </c>
      <c r="G88" s="17">
        <v>34000</v>
      </c>
      <c r="H88" s="9" t="s">
        <v>535</v>
      </c>
    </row>
    <row r="89" spans="1:8">
      <c r="A89" s="18" t="s">
        <v>707</v>
      </c>
      <c r="B89" s="19">
        <v>45379</v>
      </c>
      <c r="C89" s="19">
        <v>46027</v>
      </c>
      <c r="D89" s="20" t="s">
        <v>301</v>
      </c>
      <c r="E89" s="20">
        <v>60000</v>
      </c>
      <c r="F89" s="20">
        <f t="shared" si="1"/>
        <v>2</v>
      </c>
      <c r="G89" s="20">
        <v>22000</v>
      </c>
      <c r="H89" s="10" t="s">
        <v>535</v>
      </c>
    </row>
    <row r="90" spans="1:8">
      <c r="A90" s="15" t="s">
        <v>708</v>
      </c>
      <c r="B90" s="16">
        <v>45392</v>
      </c>
      <c r="C90" s="16">
        <v>46042</v>
      </c>
      <c r="D90" s="17" t="s">
        <v>627</v>
      </c>
      <c r="E90" s="17">
        <v>140000</v>
      </c>
      <c r="F90" s="17">
        <f t="shared" si="1"/>
        <v>2.5</v>
      </c>
      <c r="G90" s="17">
        <v>68000</v>
      </c>
      <c r="H90" s="9" t="s">
        <v>535</v>
      </c>
    </row>
    <row r="91" spans="1:8">
      <c r="A91" s="18" t="s">
        <v>709</v>
      </c>
      <c r="B91" s="19">
        <v>45404</v>
      </c>
      <c r="C91" s="19">
        <v>46068</v>
      </c>
      <c r="D91" s="20" t="s">
        <v>710</v>
      </c>
      <c r="E91" s="20">
        <v>50000</v>
      </c>
      <c r="F91" s="20">
        <f t="shared" si="1"/>
        <v>2</v>
      </c>
      <c r="G91" s="20">
        <v>17500</v>
      </c>
      <c r="H91" s="10" t="s">
        <v>535</v>
      </c>
    </row>
    <row r="92" spans="1:8">
      <c r="A92" s="15" t="s">
        <v>711</v>
      </c>
      <c r="B92" s="16">
        <v>45420</v>
      </c>
      <c r="C92" s="16">
        <v>46081</v>
      </c>
      <c r="D92" s="17" t="s">
        <v>712</v>
      </c>
      <c r="E92" s="17">
        <v>110000</v>
      </c>
      <c r="F92" s="17">
        <f t="shared" si="1"/>
        <v>2.5</v>
      </c>
      <c r="G92" s="17">
        <v>51000</v>
      </c>
      <c r="H92" s="9" t="s">
        <v>535</v>
      </c>
    </row>
    <row r="93" spans="1:8">
      <c r="A93" s="18" t="s">
        <v>713</v>
      </c>
      <c r="B93" s="19">
        <v>45432</v>
      </c>
      <c r="C93" s="19">
        <v>46093</v>
      </c>
      <c r="D93" s="20" t="s">
        <v>625</v>
      </c>
      <c r="E93" s="20">
        <v>75000</v>
      </c>
      <c r="F93" s="20">
        <f t="shared" si="1"/>
        <v>2</v>
      </c>
      <c r="G93" s="20">
        <v>30000</v>
      </c>
      <c r="H93" s="10" t="s">
        <v>535</v>
      </c>
    </row>
    <row r="94" spans="1:8">
      <c r="A94" s="15" t="s">
        <v>714</v>
      </c>
      <c r="B94" s="16">
        <v>45448</v>
      </c>
      <c r="C94" s="16">
        <v>46106</v>
      </c>
      <c r="D94" s="17" t="s">
        <v>631</v>
      </c>
      <c r="E94" s="17">
        <v>125000</v>
      </c>
      <c r="F94" s="17">
        <f t="shared" si="1"/>
        <v>2.5</v>
      </c>
      <c r="G94" s="17">
        <v>59000</v>
      </c>
      <c r="H94" s="9" t="s">
        <v>535</v>
      </c>
    </row>
    <row r="95" spans="1:8">
      <c r="A95" s="18" t="s">
        <v>715</v>
      </c>
      <c r="B95" s="19">
        <v>45461</v>
      </c>
      <c r="C95" s="19">
        <v>46122</v>
      </c>
      <c r="D95" s="20" t="s">
        <v>716</v>
      </c>
      <c r="E95" s="20">
        <v>45000</v>
      </c>
      <c r="F95" s="20">
        <f t="shared" si="1"/>
        <v>2</v>
      </c>
      <c r="G95" s="20">
        <v>14500</v>
      </c>
      <c r="H95" s="10" t="s">
        <v>535</v>
      </c>
    </row>
    <row r="96" spans="1:8">
      <c r="A96" s="15" t="s">
        <v>717</v>
      </c>
      <c r="B96" s="16">
        <v>45475</v>
      </c>
      <c r="C96" s="16">
        <v>46134</v>
      </c>
      <c r="D96" s="17" t="s">
        <v>718</v>
      </c>
      <c r="E96" s="17">
        <v>90000</v>
      </c>
      <c r="F96" s="17">
        <f t="shared" si="1"/>
        <v>2.5</v>
      </c>
      <c r="G96" s="17">
        <v>41000</v>
      </c>
      <c r="H96" s="9" t="s">
        <v>535</v>
      </c>
    </row>
    <row r="97" spans="1:8">
      <c r="A97" s="18" t="s">
        <v>719</v>
      </c>
      <c r="B97" s="19">
        <v>45488</v>
      </c>
      <c r="C97" s="19">
        <v>46147</v>
      </c>
      <c r="D97" s="20" t="s">
        <v>720</v>
      </c>
      <c r="E97" s="20">
        <v>65000</v>
      </c>
      <c r="F97" s="20">
        <f t="shared" si="1"/>
        <v>2</v>
      </c>
      <c r="G97" s="20">
        <v>23000</v>
      </c>
      <c r="H97" s="10" t="s">
        <v>535</v>
      </c>
    </row>
    <row r="98" spans="1:8">
      <c r="A98" s="15" t="s">
        <v>721</v>
      </c>
      <c r="B98" s="16">
        <v>45501</v>
      </c>
      <c r="C98" s="16">
        <v>46160</v>
      </c>
      <c r="D98" s="17" t="s">
        <v>722</v>
      </c>
      <c r="E98" s="17">
        <v>120000</v>
      </c>
      <c r="F98" s="17">
        <f t="shared" si="1"/>
        <v>2.5</v>
      </c>
      <c r="G98" s="17">
        <v>56000</v>
      </c>
      <c r="H98" s="9" t="s">
        <v>535</v>
      </c>
    </row>
    <row r="99" spans="1:8">
      <c r="A99" s="18" t="s">
        <v>723</v>
      </c>
      <c r="B99" s="19">
        <v>45514</v>
      </c>
      <c r="C99" s="19">
        <v>46170</v>
      </c>
      <c r="D99" s="20" t="s">
        <v>724</v>
      </c>
      <c r="E99" s="20">
        <v>70000</v>
      </c>
      <c r="F99" s="20">
        <f t="shared" si="1"/>
        <v>2</v>
      </c>
      <c r="G99" s="20">
        <v>26000</v>
      </c>
      <c r="H99" s="10" t="s">
        <v>535</v>
      </c>
    </row>
    <row r="100" spans="1:8">
      <c r="A100" s="15" t="s">
        <v>725</v>
      </c>
      <c r="B100" s="16">
        <v>45526</v>
      </c>
      <c r="C100" s="16">
        <v>46183</v>
      </c>
      <c r="D100" s="17" t="s">
        <v>726</v>
      </c>
      <c r="E100" s="17">
        <v>160000</v>
      </c>
      <c r="F100" s="17">
        <f t="shared" si="1"/>
        <v>2.5</v>
      </c>
      <c r="G100" s="17">
        <v>78000</v>
      </c>
      <c r="H100" s="9" t="s">
        <v>535</v>
      </c>
    </row>
    <row r="101" spans="1:8">
      <c r="A101" s="18" t="s">
        <v>727</v>
      </c>
      <c r="B101" s="19">
        <v>45540</v>
      </c>
      <c r="C101" s="19">
        <v>46193</v>
      </c>
      <c r="D101" s="20" t="s">
        <v>728</v>
      </c>
      <c r="E101" s="20">
        <v>85000</v>
      </c>
      <c r="F101" s="20">
        <f t="shared" si="1"/>
        <v>2</v>
      </c>
      <c r="G101" s="20">
        <v>36000</v>
      </c>
      <c r="H101" s="10" t="s">
        <v>535</v>
      </c>
    </row>
    <row r="102" spans="1:8">
      <c r="A102" s="15" t="s">
        <v>729</v>
      </c>
      <c r="B102" s="16">
        <v>45667</v>
      </c>
      <c r="C102" s="16">
        <v>45945</v>
      </c>
      <c r="D102" s="17" t="s">
        <v>730</v>
      </c>
      <c r="E102" s="17">
        <v>50000</v>
      </c>
      <c r="F102" s="17">
        <f t="shared" si="1"/>
        <v>1.5</v>
      </c>
      <c r="G102" s="17">
        <v>9000</v>
      </c>
      <c r="H102" s="9" t="s">
        <v>535</v>
      </c>
    </row>
    <row r="103" spans="1:8">
      <c r="A103" s="18" t="s">
        <v>731</v>
      </c>
      <c r="B103" s="19">
        <v>45675</v>
      </c>
      <c r="C103" s="19">
        <v>45981</v>
      </c>
      <c r="D103" s="20" t="s">
        <v>732</v>
      </c>
      <c r="E103" s="20">
        <v>75000</v>
      </c>
      <c r="F103" s="20">
        <f t="shared" si="1"/>
        <v>1.5</v>
      </c>
      <c r="G103" s="20">
        <v>14000</v>
      </c>
      <c r="H103" s="10" t="s">
        <v>535</v>
      </c>
    </row>
    <row r="104" spans="1:8">
      <c r="A104" s="15" t="s">
        <v>733</v>
      </c>
      <c r="B104" s="16">
        <v>45693</v>
      </c>
      <c r="C104" s="16">
        <v>46001</v>
      </c>
      <c r="D104" s="17" t="s">
        <v>734</v>
      </c>
      <c r="E104" s="17">
        <v>100000</v>
      </c>
      <c r="F104" s="17">
        <f t="shared" si="1"/>
        <v>1.5</v>
      </c>
      <c r="G104" s="17">
        <v>18000</v>
      </c>
      <c r="H104" s="9" t="s">
        <v>535</v>
      </c>
    </row>
    <row r="105" spans="1:8">
      <c r="A105" s="18" t="s">
        <v>735</v>
      </c>
      <c r="B105" s="19">
        <v>45710</v>
      </c>
      <c r="C105" s="19">
        <v>46037</v>
      </c>
      <c r="D105" s="20" t="s">
        <v>724</v>
      </c>
      <c r="E105" s="20">
        <v>60000</v>
      </c>
      <c r="F105" s="20">
        <f t="shared" si="1"/>
        <v>1.5</v>
      </c>
      <c r="G105" s="20">
        <v>10000</v>
      </c>
      <c r="H105" s="10" t="s">
        <v>535</v>
      </c>
    </row>
    <row r="106" spans="1:8">
      <c r="A106" s="15" t="s">
        <v>736</v>
      </c>
      <c r="B106" s="16">
        <v>45726</v>
      </c>
      <c r="C106" s="16">
        <v>46073</v>
      </c>
      <c r="D106" s="17" t="s">
        <v>737</v>
      </c>
      <c r="E106" s="17">
        <v>120000</v>
      </c>
      <c r="F106" s="17">
        <f t="shared" si="1"/>
        <v>1.5</v>
      </c>
      <c r="G106" s="17">
        <v>22000</v>
      </c>
      <c r="H106" s="9" t="s">
        <v>535</v>
      </c>
    </row>
    <row r="107" spans="1:8">
      <c r="A107" s="18" t="s">
        <v>738</v>
      </c>
      <c r="B107" s="19">
        <v>45741</v>
      </c>
      <c r="C107" s="19">
        <v>46096</v>
      </c>
      <c r="D107" s="20" t="s">
        <v>447</v>
      </c>
      <c r="E107" s="20">
        <v>80000</v>
      </c>
      <c r="F107" s="20">
        <f t="shared" si="1"/>
        <v>1.5</v>
      </c>
      <c r="G107" s="20">
        <v>14000</v>
      </c>
      <c r="H107" s="10" t="s">
        <v>535</v>
      </c>
    </row>
    <row r="108" spans="1:8">
      <c r="A108" s="15" t="s">
        <v>739</v>
      </c>
      <c r="B108" s="16">
        <v>45759</v>
      </c>
      <c r="C108" s="16">
        <v>46122</v>
      </c>
      <c r="D108" s="17" t="s">
        <v>740</v>
      </c>
      <c r="E108" s="17">
        <v>90000</v>
      </c>
      <c r="F108" s="17">
        <f t="shared" si="1"/>
        <v>1.5</v>
      </c>
      <c r="G108" s="17">
        <v>16000</v>
      </c>
      <c r="H108" s="9" t="s">
        <v>535</v>
      </c>
    </row>
    <row r="109" spans="1:8">
      <c r="A109" s="18" t="s">
        <v>741</v>
      </c>
      <c r="B109" s="19">
        <v>45778</v>
      </c>
      <c r="C109" s="19">
        <v>46147</v>
      </c>
      <c r="D109" s="20" t="s">
        <v>742</v>
      </c>
      <c r="E109" s="20">
        <v>70000</v>
      </c>
      <c r="F109" s="20">
        <f t="shared" si="1"/>
        <v>1.5</v>
      </c>
      <c r="G109" s="20">
        <v>12000</v>
      </c>
      <c r="H109" s="10" t="s">
        <v>535</v>
      </c>
    </row>
    <row r="110" spans="1:8">
      <c r="A110" s="15" t="s">
        <v>743</v>
      </c>
      <c r="B110" s="16">
        <v>45795</v>
      </c>
      <c r="C110" s="16">
        <v>46162</v>
      </c>
      <c r="D110" s="17" t="s">
        <v>726</v>
      </c>
      <c r="E110" s="17">
        <v>150000</v>
      </c>
      <c r="F110" s="17">
        <f t="shared" si="1"/>
        <v>1.5</v>
      </c>
      <c r="G110" s="17">
        <v>28000</v>
      </c>
      <c r="H110" s="9" t="s">
        <v>535</v>
      </c>
    </row>
    <row r="111" spans="1:8">
      <c r="A111" s="18" t="s">
        <v>744</v>
      </c>
      <c r="B111" s="19">
        <v>45810</v>
      </c>
      <c r="C111" s="19">
        <v>46188</v>
      </c>
      <c r="D111" s="20" t="s">
        <v>700</v>
      </c>
      <c r="E111" s="20">
        <v>110000</v>
      </c>
      <c r="F111" s="20">
        <f t="shared" si="1"/>
        <v>1.5</v>
      </c>
      <c r="G111" s="20">
        <v>20000</v>
      </c>
      <c r="H111" s="10" t="s">
        <v>535</v>
      </c>
    </row>
    <row r="112" spans="1:8">
      <c r="A112" s="15" t="s">
        <v>745</v>
      </c>
      <c r="B112" s="16">
        <v>46032</v>
      </c>
      <c r="C112" s="16">
        <v>46132</v>
      </c>
      <c r="D112" s="17" t="s">
        <v>746</v>
      </c>
      <c r="E112" s="17">
        <v>50000</v>
      </c>
      <c r="F112" s="17">
        <f t="shared" si="1"/>
        <v>1.5</v>
      </c>
      <c r="G112" s="17">
        <v>5000</v>
      </c>
      <c r="H112" s="9" t="s">
        <v>535</v>
      </c>
    </row>
    <row r="113" spans="1:8">
      <c r="A113" s="18" t="s">
        <v>747</v>
      </c>
      <c r="B113" s="19">
        <v>46047</v>
      </c>
      <c r="C113" s="19">
        <v>46157</v>
      </c>
      <c r="D113" s="20" t="s">
        <v>748</v>
      </c>
      <c r="E113" s="20">
        <v>65000</v>
      </c>
      <c r="F113" s="20">
        <f t="shared" si="1"/>
        <v>1.5</v>
      </c>
      <c r="G113" s="20">
        <v>6500</v>
      </c>
      <c r="H113" s="10" t="s">
        <v>535</v>
      </c>
    </row>
    <row r="114" spans="1:8">
      <c r="A114" s="15" t="s">
        <v>749</v>
      </c>
      <c r="B114" s="16">
        <v>46061</v>
      </c>
      <c r="C114" s="16">
        <v>46174</v>
      </c>
      <c r="D114" s="17" t="s">
        <v>750</v>
      </c>
      <c r="E114" s="17">
        <v>100000</v>
      </c>
      <c r="F114" s="17">
        <f t="shared" si="1"/>
        <v>1.5</v>
      </c>
      <c r="G114" s="17">
        <v>10000</v>
      </c>
      <c r="H114" s="9" t="s">
        <v>535</v>
      </c>
    </row>
    <row r="115" spans="1:8">
      <c r="A115" s="18" t="s">
        <v>751</v>
      </c>
      <c r="B115" s="19">
        <v>46073</v>
      </c>
      <c r="C115" s="19">
        <v>46188</v>
      </c>
      <c r="D115" s="20" t="s">
        <v>752</v>
      </c>
      <c r="E115" s="20">
        <v>85000</v>
      </c>
      <c r="F115" s="20">
        <f t="shared" si="1"/>
        <v>1.5</v>
      </c>
      <c r="G115" s="20">
        <v>8500</v>
      </c>
      <c r="H115" s="10" t="s">
        <v>535</v>
      </c>
    </row>
    <row r="116" spans="1:8">
      <c r="A116" s="21" t="s">
        <v>753</v>
      </c>
      <c r="B116" s="22">
        <v>46086</v>
      </c>
      <c r="C116" s="22">
        <v>46193</v>
      </c>
      <c r="D116" s="23" t="s">
        <v>192</v>
      </c>
      <c r="E116" s="23">
        <v>70000</v>
      </c>
      <c r="F116" s="23">
        <f t="shared" si="1"/>
        <v>1.5</v>
      </c>
      <c r="G116" s="23">
        <v>7000</v>
      </c>
      <c r="H116" s="11" t="s">
        <v>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E1EA-E28D-43E5-8C8C-87B1D3F8C49C}">
  <dimension ref="A1:H415"/>
  <sheetViews>
    <sheetView workbookViewId="0">
      <selection activeCell="A2" sqref="A2:H415"/>
    </sheetView>
  </sheetViews>
  <sheetFormatPr defaultRowHeight="15"/>
  <cols>
    <col min="1" max="1" width="11.28515625" style="31" customWidth="1"/>
    <col min="2" max="2" width="12.7109375" style="31" customWidth="1"/>
    <col min="3" max="3" width="15.28515625" style="27" customWidth="1"/>
    <col min="4" max="4" width="29.7109375" style="31" customWidth="1"/>
    <col min="5" max="5" width="19.140625" style="27" customWidth="1"/>
    <col min="6" max="6" width="15.28515625" style="27" customWidth="1"/>
    <col min="7" max="7" width="17.42578125" style="27" customWidth="1"/>
    <col min="8" max="8" width="13.140625" style="60" customWidth="1"/>
  </cols>
  <sheetData>
    <row r="1" spans="1:8">
      <c r="A1" s="72" t="s">
        <v>526</v>
      </c>
      <c r="B1" s="73" t="s">
        <v>527</v>
      </c>
      <c r="C1" s="73" t="s">
        <v>528</v>
      </c>
      <c r="D1" s="73" t="s">
        <v>529</v>
      </c>
      <c r="E1" s="73" t="s">
        <v>530</v>
      </c>
      <c r="F1" s="73" t="s">
        <v>531</v>
      </c>
      <c r="G1" s="73" t="s">
        <v>532</v>
      </c>
      <c r="H1" s="74" t="s">
        <v>5</v>
      </c>
    </row>
    <row r="2" spans="1:8">
      <c r="A2" s="44" t="s">
        <v>754</v>
      </c>
      <c r="B2" s="48">
        <v>44201</v>
      </c>
      <c r="C2" s="37">
        <v>44880</v>
      </c>
      <c r="D2" s="40" t="s">
        <v>755</v>
      </c>
      <c r="E2" s="43">
        <v>45000</v>
      </c>
      <c r="F2" s="43">
        <v>2</v>
      </c>
      <c r="G2" s="43">
        <v>16000</v>
      </c>
      <c r="H2" s="54" t="s">
        <v>535</v>
      </c>
    </row>
    <row r="3" spans="1:8">
      <c r="A3" s="44" t="s">
        <v>756</v>
      </c>
      <c r="B3" s="48">
        <v>44204</v>
      </c>
      <c r="C3" s="37">
        <v>44915</v>
      </c>
      <c r="D3" s="40" t="s">
        <v>585</v>
      </c>
      <c r="E3" s="43">
        <v>60000</v>
      </c>
      <c r="F3" s="43">
        <v>2</v>
      </c>
      <c r="G3" s="43">
        <v>22000</v>
      </c>
      <c r="H3" s="54" t="s">
        <v>535</v>
      </c>
    </row>
    <row r="4" spans="1:8">
      <c r="A4" s="44" t="s">
        <v>757</v>
      </c>
      <c r="B4" s="48">
        <v>44206</v>
      </c>
      <c r="C4" s="37">
        <v>44931</v>
      </c>
      <c r="D4" s="40" t="s">
        <v>758</v>
      </c>
      <c r="E4" s="43">
        <v>35000</v>
      </c>
      <c r="F4" s="43">
        <v>2</v>
      </c>
      <c r="G4" s="43">
        <v>12000</v>
      </c>
      <c r="H4" s="54" t="s">
        <v>535</v>
      </c>
    </row>
    <row r="5" spans="1:8">
      <c r="A5" s="44" t="s">
        <v>759</v>
      </c>
      <c r="B5" s="48">
        <v>44208</v>
      </c>
      <c r="C5" s="37">
        <v>45003</v>
      </c>
      <c r="D5" s="40" t="s">
        <v>712</v>
      </c>
      <c r="E5" s="43">
        <v>80000</v>
      </c>
      <c r="F5" s="43">
        <v>2.5</v>
      </c>
      <c r="G5" s="43">
        <v>36000</v>
      </c>
      <c r="H5" s="54" t="s">
        <v>535</v>
      </c>
    </row>
    <row r="6" spans="1:8">
      <c r="A6" s="44" t="s">
        <v>760</v>
      </c>
      <c r="B6" s="48">
        <v>44210</v>
      </c>
      <c r="C6" s="37">
        <v>44890</v>
      </c>
      <c r="D6" s="40" t="s">
        <v>659</v>
      </c>
      <c r="E6" s="43">
        <v>50000</v>
      </c>
      <c r="F6" s="43">
        <v>2</v>
      </c>
      <c r="G6" s="43">
        <v>18000</v>
      </c>
      <c r="H6" s="54" t="s">
        <v>535</v>
      </c>
    </row>
    <row r="7" spans="1:8">
      <c r="A7" s="44" t="s">
        <v>761</v>
      </c>
      <c r="B7" s="48">
        <v>44212</v>
      </c>
      <c r="C7" s="37">
        <v>44967</v>
      </c>
      <c r="D7" s="40" t="s">
        <v>661</v>
      </c>
      <c r="E7" s="43">
        <v>70000</v>
      </c>
      <c r="F7" s="43">
        <v>2</v>
      </c>
      <c r="G7" s="43">
        <v>26000</v>
      </c>
      <c r="H7" s="54" t="s">
        <v>535</v>
      </c>
    </row>
    <row r="8" spans="1:8">
      <c r="A8" s="44" t="s">
        <v>762</v>
      </c>
      <c r="B8" s="48">
        <v>44214</v>
      </c>
      <c r="C8" s="37">
        <v>45031</v>
      </c>
      <c r="D8" s="40" t="s">
        <v>447</v>
      </c>
      <c r="E8" s="43">
        <v>90000</v>
      </c>
      <c r="F8" s="43">
        <v>2.5</v>
      </c>
      <c r="G8" s="43">
        <v>42000</v>
      </c>
      <c r="H8" s="54" t="s">
        <v>535</v>
      </c>
    </row>
    <row r="9" spans="1:8">
      <c r="A9" s="44" t="s">
        <v>763</v>
      </c>
      <c r="B9" s="48">
        <v>44216</v>
      </c>
      <c r="C9" s="37">
        <v>44842</v>
      </c>
      <c r="D9" s="40" t="s">
        <v>732</v>
      </c>
      <c r="E9" s="43">
        <v>40000</v>
      </c>
      <c r="F9" s="43">
        <v>2</v>
      </c>
      <c r="G9" s="43">
        <v>14000</v>
      </c>
      <c r="H9" s="54" t="s">
        <v>535</v>
      </c>
    </row>
    <row r="10" spans="1:8">
      <c r="A10" s="44" t="s">
        <v>764</v>
      </c>
      <c r="B10" s="48">
        <v>44218</v>
      </c>
      <c r="C10" s="37">
        <v>45066</v>
      </c>
      <c r="D10" s="40" t="s">
        <v>765</v>
      </c>
      <c r="E10" s="43">
        <v>100000</v>
      </c>
      <c r="F10" s="43">
        <v>2.5</v>
      </c>
      <c r="G10" s="43">
        <v>47000</v>
      </c>
      <c r="H10" s="54" t="s">
        <v>535</v>
      </c>
    </row>
    <row r="11" spans="1:8">
      <c r="A11" s="44" t="s">
        <v>766</v>
      </c>
      <c r="B11" s="48">
        <v>44220</v>
      </c>
      <c r="C11" s="37">
        <v>44910</v>
      </c>
      <c r="D11" s="40" t="s">
        <v>767</v>
      </c>
      <c r="E11" s="43">
        <v>55000</v>
      </c>
      <c r="F11" s="43">
        <v>2</v>
      </c>
      <c r="G11" s="43">
        <v>20000</v>
      </c>
      <c r="H11" s="54" t="s">
        <v>535</v>
      </c>
    </row>
    <row r="12" spans="1:8">
      <c r="A12" s="44" t="s">
        <v>768</v>
      </c>
      <c r="B12" s="48">
        <v>44222</v>
      </c>
      <c r="C12" s="37">
        <v>45099</v>
      </c>
      <c r="D12" s="40" t="s">
        <v>730</v>
      </c>
      <c r="E12" s="43">
        <v>120000</v>
      </c>
      <c r="F12" s="43">
        <v>2.5</v>
      </c>
      <c r="G12" s="43">
        <v>56000</v>
      </c>
      <c r="H12" s="54" t="s">
        <v>535</v>
      </c>
    </row>
    <row r="13" spans="1:8">
      <c r="A13" s="44" t="s">
        <v>769</v>
      </c>
      <c r="B13" s="48">
        <v>44224</v>
      </c>
      <c r="C13" s="37">
        <v>44990</v>
      </c>
      <c r="D13" s="40" t="s">
        <v>611</v>
      </c>
      <c r="E13" s="43">
        <v>45000</v>
      </c>
      <c r="F13" s="43">
        <v>2</v>
      </c>
      <c r="G13" s="43">
        <v>15000</v>
      </c>
      <c r="H13" s="54" t="s">
        <v>535</v>
      </c>
    </row>
    <row r="14" spans="1:8">
      <c r="A14" s="44" t="s">
        <v>770</v>
      </c>
      <c r="B14" s="48">
        <v>44226</v>
      </c>
      <c r="C14" s="37">
        <v>45156</v>
      </c>
      <c r="D14" s="40" t="s">
        <v>771</v>
      </c>
      <c r="E14" s="43">
        <v>85000</v>
      </c>
      <c r="F14" s="43">
        <v>2.5</v>
      </c>
      <c r="G14" s="43">
        <v>39000</v>
      </c>
      <c r="H14" s="54" t="s">
        <v>535</v>
      </c>
    </row>
    <row r="15" spans="1:8">
      <c r="A15" s="44" t="s">
        <v>772</v>
      </c>
      <c r="B15" s="48">
        <v>44228</v>
      </c>
      <c r="C15" s="37">
        <v>44951</v>
      </c>
      <c r="D15" s="40" t="s">
        <v>696</v>
      </c>
      <c r="E15" s="43">
        <v>65000</v>
      </c>
      <c r="F15" s="43">
        <v>2</v>
      </c>
      <c r="G15" s="43">
        <v>24000</v>
      </c>
      <c r="H15" s="54" t="s">
        <v>535</v>
      </c>
    </row>
    <row r="16" spans="1:8">
      <c r="A16" s="44" t="s">
        <v>773</v>
      </c>
      <c r="B16" s="48">
        <v>44230</v>
      </c>
      <c r="C16" s="37">
        <v>44877</v>
      </c>
      <c r="D16" s="40" t="s">
        <v>706</v>
      </c>
      <c r="E16" s="43">
        <v>30000</v>
      </c>
      <c r="F16" s="43">
        <v>2</v>
      </c>
      <c r="G16" s="43">
        <v>9500</v>
      </c>
      <c r="H16" s="54" t="s">
        <v>535</v>
      </c>
    </row>
    <row r="17" spans="1:8">
      <c r="A17" s="44" t="s">
        <v>774</v>
      </c>
      <c r="B17" s="48">
        <v>44232</v>
      </c>
      <c r="C17" s="37">
        <v>45046</v>
      </c>
      <c r="D17" s="40" t="s">
        <v>301</v>
      </c>
      <c r="E17" s="43">
        <v>110000</v>
      </c>
      <c r="F17" s="43">
        <v>2.5</v>
      </c>
      <c r="G17" s="43">
        <v>50000</v>
      </c>
      <c r="H17" s="54" t="s">
        <v>535</v>
      </c>
    </row>
    <row r="18" spans="1:8">
      <c r="A18" s="44" t="s">
        <v>775</v>
      </c>
      <c r="B18" s="48">
        <v>44234</v>
      </c>
      <c r="C18" s="37">
        <v>44977</v>
      </c>
      <c r="D18" s="40" t="s">
        <v>637</v>
      </c>
      <c r="E18" s="43">
        <v>50000</v>
      </c>
      <c r="F18" s="43">
        <v>2</v>
      </c>
      <c r="G18" s="43">
        <v>18000</v>
      </c>
      <c r="H18" s="54" t="s">
        <v>535</v>
      </c>
    </row>
    <row r="19" spans="1:8">
      <c r="A19" s="44" t="s">
        <v>776</v>
      </c>
      <c r="B19" s="48">
        <v>44236</v>
      </c>
      <c r="C19" s="37">
        <v>45122</v>
      </c>
      <c r="D19" s="40" t="s">
        <v>639</v>
      </c>
      <c r="E19" s="43">
        <v>95000</v>
      </c>
      <c r="F19" s="43">
        <v>2.5</v>
      </c>
      <c r="G19" s="43">
        <v>44000</v>
      </c>
      <c r="H19" s="54" t="s">
        <v>535</v>
      </c>
    </row>
    <row r="20" spans="1:8">
      <c r="A20" s="44" t="s">
        <v>777</v>
      </c>
      <c r="B20" s="48">
        <v>44238</v>
      </c>
      <c r="C20" s="37">
        <v>44923</v>
      </c>
      <c r="D20" s="40" t="s">
        <v>690</v>
      </c>
      <c r="E20" s="43">
        <v>60000</v>
      </c>
      <c r="F20" s="43">
        <v>2</v>
      </c>
      <c r="G20" s="43">
        <v>21000</v>
      </c>
      <c r="H20" s="54" t="s">
        <v>535</v>
      </c>
    </row>
    <row r="21" spans="1:8">
      <c r="A21" s="44" t="s">
        <v>778</v>
      </c>
      <c r="B21" s="48">
        <v>44240</v>
      </c>
      <c r="C21" s="37">
        <v>45148</v>
      </c>
      <c r="D21" s="40" t="s">
        <v>615</v>
      </c>
      <c r="E21" s="43">
        <v>130000</v>
      </c>
      <c r="F21" s="43">
        <v>2.5</v>
      </c>
      <c r="G21" s="43">
        <v>61000</v>
      </c>
      <c r="H21" s="54" t="s">
        <v>535</v>
      </c>
    </row>
    <row r="22" spans="1:8">
      <c r="A22" s="45" t="s">
        <v>533</v>
      </c>
      <c r="B22" s="49">
        <v>44211</v>
      </c>
      <c r="C22" s="32">
        <v>44915</v>
      </c>
      <c r="D22" s="28" t="s">
        <v>534</v>
      </c>
      <c r="E22" s="24">
        <v>50000</v>
      </c>
      <c r="F22" s="24">
        <f>IF(G22/E22&gt;0.45,2.5,IF(G22/E22&gt;0.25,2,1.5))</f>
        <v>2</v>
      </c>
      <c r="G22" s="24">
        <v>18000</v>
      </c>
      <c r="H22" s="55" t="s">
        <v>535</v>
      </c>
    </row>
    <row r="23" spans="1:8">
      <c r="A23" s="46" t="s">
        <v>536</v>
      </c>
      <c r="B23" s="50">
        <v>44218</v>
      </c>
      <c r="C23" s="33">
        <v>45003</v>
      </c>
      <c r="D23" s="29" t="s">
        <v>537</v>
      </c>
      <c r="E23" s="25">
        <v>75000</v>
      </c>
      <c r="F23" s="25">
        <f>IF(G23/E23&gt;0.45,2.5,IF(G23/E23&gt;0.25,2,1.5))</f>
        <v>2</v>
      </c>
      <c r="G23" s="25">
        <v>32000</v>
      </c>
      <c r="H23" s="56" t="s">
        <v>535</v>
      </c>
    </row>
    <row r="24" spans="1:8">
      <c r="A24" s="45" t="s">
        <v>538</v>
      </c>
      <c r="B24" s="49">
        <v>44232</v>
      </c>
      <c r="C24" s="32">
        <v>44936</v>
      </c>
      <c r="D24" s="28" t="s">
        <v>539</v>
      </c>
      <c r="E24" s="24">
        <v>40000</v>
      </c>
      <c r="F24" s="24">
        <f>IF(G24/E24&gt;0.45,2.5,IF(G24/E24&gt;0.25,2,1.5))</f>
        <v>2</v>
      </c>
      <c r="G24" s="24">
        <v>14500</v>
      </c>
      <c r="H24" s="55" t="s">
        <v>535</v>
      </c>
    </row>
    <row r="25" spans="1:8">
      <c r="A25" s="46" t="s">
        <v>540</v>
      </c>
      <c r="B25" s="50">
        <v>44245</v>
      </c>
      <c r="C25" s="33">
        <v>45102</v>
      </c>
      <c r="D25" s="29" t="s">
        <v>541</v>
      </c>
      <c r="E25" s="25">
        <v>90000</v>
      </c>
      <c r="F25" s="25">
        <f>IF(G25/E25&gt;0.45,2.5,IF(G25/E25&gt;0.25,2,1.5))</f>
        <v>2.5</v>
      </c>
      <c r="G25" s="25">
        <v>41000</v>
      </c>
      <c r="H25" s="56" t="s">
        <v>535</v>
      </c>
    </row>
    <row r="26" spans="1:8">
      <c r="A26" s="45" t="s">
        <v>542</v>
      </c>
      <c r="B26" s="49">
        <v>44257</v>
      </c>
      <c r="C26" s="32">
        <v>44971</v>
      </c>
      <c r="D26" s="28" t="s">
        <v>543</v>
      </c>
      <c r="E26" s="24">
        <v>60000</v>
      </c>
      <c r="F26" s="24">
        <f>IF(G26/E26&gt;0.45,2.5,IF(G26/E26&gt;0.25,2,1.5))</f>
        <v>2</v>
      </c>
      <c r="G26" s="24">
        <v>25000</v>
      </c>
      <c r="H26" s="55" t="s">
        <v>535</v>
      </c>
    </row>
    <row r="27" spans="1:8">
      <c r="A27" s="46" t="s">
        <v>544</v>
      </c>
      <c r="B27" s="50">
        <v>44265</v>
      </c>
      <c r="C27" s="33">
        <v>44895</v>
      </c>
      <c r="D27" s="29" t="s">
        <v>545</v>
      </c>
      <c r="E27" s="25">
        <v>35000</v>
      </c>
      <c r="F27" s="25">
        <f>IF(G27/E27&gt;0.45,2.5,IF(G27/E27&gt;0.25,2,1.5))</f>
        <v>2</v>
      </c>
      <c r="G27" s="25">
        <v>11000</v>
      </c>
      <c r="H27" s="56" t="s">
        <v>535</v>
      </c>
    </row>
    <row r="28" spans="1:8">
      <c r="A28" s="45" t="s">
        <v>546</v>
      </c>
      <c r="B28" s="49">
        <v>44276</v>
      </c>
      <c r="C28" s="32">
        <v>45031</v>
      </c>
      <c r="D28" s="28" t="s">
        <v>547</v>
      </c>
      <c r="E28" s="24">
        <v>120000</v>
      </c>
      <c r="F28" s="24">
        <f>IF(G28/E28&gt;0.45,2.5,IF(G28/E28&gt;0.25,2,1.5))</f>
        <v>2</v>
      </c>
      <c r="G28" s="24">
        <v>52000</v>
      </c>
      <c r="H28" s="55" t="s">
        <v>535</v>
      </c>
    </row>
    <row r="29" spans="1:8">
      <c r="A29" s="46" t="s">
        <v>548</v>
      </c>
      <c r="B29" s="50">
        <v>44290</v>
      </c>
      <c r="C29" s="33">
        <v>44814</v>
      </c>
      <c r="D29" s="29" t="s">
        <v>549</v>
      </c>
      <c r="E29" s="25">
        <v>45000</v>
      </c>
      <c r="F29" s="25">
        <f>IF(G29/E29&gt;0.45,2.5,IF(G29/E29&gt;0.25,2,1.5))</f>
        <v>2</v>
      </c>
      <c r="G29" s="25">
        <v>15000</v>
      </c>
      <c r="H29" s="56" t="s">
        <v>535</v>
      </c>
    </row>
    <row r="30" spans="1:8">
      <c r="A30" s="45" t="s">
        <v>550</v>
      </c>
      <c r="B30" s="49">
        <v>44301</v>
      </c>
      <c r="C30" s="32">
        <v>45066</v>
      </c>
      <c r="D30" s="28" t="s">
        <v>551</v>
      </c>
      <c r="E30" s="24">
        <v>100000</v>
      </c>
      <c r="F30" s="24">
        <f>IF(G30/E30&gt;0.45,2.5,IF(G30/E30&gt;0.25,2,1.5))</f>
        <v>2.5</v>
      </c>
      <c r="G30" s="24">
        <v>47000</v>
      </c>
      <c r="H30" s="55" t="s">
        <v>535</v>
      </c>
    </row>
    <row r="31" spans="1:8">
      <c r="A31" s="46" t="s">
        <v>552</v>
      </c>
      <c r="B31" s="50">
        <v>44314</v>
      </c>
      <c r="C31" s="33">
        <v>44903</v>
      </c>
      <c r="D31" s="29" t="s">
        <v>553</v>
      </c>
      <c r="E31" s="25">
        <v>70000</v>
      </c>
      <c r="F31" s="25">
        <f>IF(G31/E31&gt;0.45,2.5,IF(G31/E31&gt;0.25,2,1.5))</f>
        <v>2</v>
      </c>
      <c r="G31" s="25">
        <v>26000</v>
      </c>
      <c r="H31" s="56" t="s">
        <v>535</v>
      </c>
    </row>
    <row r="32" spans="1:8">
      <c r="A32" s="45" t="s">
        <v>554</v>
      </c>
      <c r="B32" s="49">
        <v>44325</v>
      </c>
      <c r="C32" s="32">
        <v>45156</v>
      </c>
      <c r="D32" s="28" t="s">
        <v>555</v>
      </c>
      <c r="E32" s="24">
        <v>80000</v>
      </c>
      <c r="F32" s="24">
        <f>IF(G32/E32&gt;0.45,2.5,IF(G32/E32&gt;0.25,2,1.5))</f>
        <v>2</v>
      </c>
      <c r="G32" s="24">
        <v>36000</v>
      </c>
      <c r="H32" s="55" t="s">
        <v>535</v>
      </c>
    </row>
    <row r="33" spans="1:8">
      <c r="A33" s="46" t="s">
        <v>556</v>
      </c>
      <c r="B33" s="50">
        <v>44338</v>
      </c>
      <c r="C33" s="33">
        <v>44931</v>
      </c>
      <c r="D33" s="29" t="s">
        <v>557</v>
      </c>
      <c r="E33" s="25">
        <v>30000</v>
      </c>
      <c r="F33" s="25">
        <f>IF(G33/E33&gt;0.45,2.5,IF(G33/E33&gt;0.25,2,1.5))</f>
        <v>2</v>
      </c>
      <c r="G33" s="25">
        <v>9500</v>
      </c>
      <c r="H33" s="56" t="s">
        <v>535</v>
      </c>
    </row>
    <row r="34" spans="1:8">
      <c r="A34" s="45" t="s">
        <v>558</v>
      </c>
      <c r="B34" s="49">
        <v>44348</v>
      </c>
      <c r="C34" s="32">
        <v>45119</v>
      </c>
      <c r="D34" s="28" t="s">
        <v>559</v>
      </c>
      <c r="E34" s="24">
        <v>110000</v>
      </c>
      <c r="F34" s="24">
        <f>IF(G34/E34&gt;0.45,2.5,IF(G34/E34&gt;0.25,2,1.5))</f>
        <v>2.5</v>
      </c>
      <c r="G34" s="24">
        <v>50000</v>
      </c>
      <c r="H34" s="55" t="s">
        <v>535</v>
      </c>
    </row>
    <row r="35" spans="1:8">
      <c r="A35" s="46" t="s">
        <v>560</v>
      </c>
      <c r="B35" s="50">
        <v>44365</v>
      </c>
      <c r="C35" s="33">
        <v>44982</v>
      </c>
      <c r="D35" s="29" t="s">
        <v>561</v>
      </c>
      <c r="E35" s="25">
        <v>65000</v>
      </c>
      <c r="F35" s="25">
        <f>IF(G35/E35&gt;0.45,2.5,IF(G35/E35&gt;0.25,2,1.5))</f>
        <v>2</v>
      </c>
      <c r="G35" s="25">
        <v>24000</v>
      </c>
      <c r="H35" s="56" t="s">
        <v>535</v>
      </c>
    </row>
    <row r="36" spans="1:8">
      <c r="A36" s="45" t="s">
        <v>562</v>
      </c>
      <c r="B36" s="49">
        <v>44379</v>
      </c>
      <c r="C36" s="32">
        <v>44850</v>
      </c>
      <c r="D36" s="28" t="s">
        <v>563</v>
      </c>
      <c r="E36" s="24">
        <v>55000</v>
      </c>
      <c r="F36" s="24">
        <f>IF(G36/E36&gt;0.45,2.5,IF(G36/E36&gt;0.25,2,1.5))</f>
        <v>2</v>
      </c>
      <c r="G36" s="24">
        <v>17000</v>
      </c>
      <c r="H36" s="55" t="s">
        <v>535</v>
      </c>
    </row>
    <row r="37" spans="1:8">
      <c r="A37" s="46" t="s">
        <v>564</v>
      </c>
      <c r="B37" s="50">
        <v>44397</v>
      </c>
      <c r="C37" s="33">
        <v>45054</v>
      </c>
      <c r="D37" s="29" t="s">
        <v>565</v>
      </c>
      <c r="E37" s="25">
        <v>85000</v>
      </c>
      <c r="F37" s="25">
        <f>IF(G37/E37&gt;0.45,2.5,IF(G37/E37&gt;0.25,2,1.5))</f>
        <v>2</v>
      </c>
      <c r="G37" s="25">
        <v>38000</v>
      </c>
      <c r="H37" s="56" t="s">
        <v>535</v>
      </c>
    </row>
    <row r="38" spans="1:8">
      <c r="A38" s="45" t="s">
        <v>566</v>
      </c>
      <c r="B38" s="49">
        <v>44413</v>
      </c>
      <c r="C38" s="32">
        <v>44917</v>
      </c>
      <c r="D38" s="28" t="s">
        <v>567</v>
      </c>
      <c r="E38" s="24">
        <v>25000</v>
      </c>
      <c r="F38" s="24">
        <f>IF(G38/E38&gt;0.45,2.5,IF(G38/E38&gt;0.25,2,1.5))</f>
        <v>2</v>
      </c>
      <c r="G38" s="24">
        <v>7000</v>
      </c>
      <c r="H38" s="55" t="s">
        <v>535</v>
      </c>
    </row>
    <row r="39" spans="1:8">
      <c r="A39" s="46" t="s">
        <v>568</v>
      </c>
      <c r="B39" s="50">
        <v>44427</v>
      </c>
      <c r="C39" s="33">
        <v>45107</v>
      </c>
      <c r="D39" s="29" t="s">
        <v>569</v>
      </c>
      <c r="E39" s="25">
        <v>95000</v>
      </c>
      <c r="F39" s="25">
        <f>IF(G39/E39&gt;0.45,2.5,IF(G39/E39&gt;0.25,2,1.5))</f>
        <v>2.5</v>
      </c>
      <c r="G39" s="25">
        <v>43000</v>
      </c>
      <c r="H39" s="56" t="s">
        <v>535</v>
      </c>
    </row>
    <row r="40" spans="1:8">
      <c r="A40" s="45" t="s">
        <v>570</v>
      </c>
      <c r="B40" s="49">
        <v>44440</v>
      </c>
      <c r="C40" s="32">
        <v>45000</v>
      </c>
      <c r="D40" s="28" t="s">
        <v>571</v>
      </c>
      <c r="E40" s="24">
        <v>50000</v>
      </c>
      <c r="F40" s="24">
        <f>IF(G40/E40&gt;0.45,2.5,IF(G40/E40&gt;0.25,2,1.5))</f>
        <v>2</v>
      </c>
      <c r="G40" s="24">
        <v>18000</v>
      </c>
      <c r="H40" s="55" t="s">
        <v>535</v>
      </c>
    </row>
    <row r="41" spans="1:8">
      <c r="A41" s="46" t="s">
        <v>572</v>
      </c>
      <c r="B41" s="50">
        <v>44453</v>
      </c>
      <c r="C41" s="33">
        <v>44953</v>
      </c>
      <c r="D41" s="29" t="s">
        <v>573</v>
      </c>
      <c r="E41" s="25">
        <v>60000</v>
      </c>
      <c r="F41" s="25">
        <f>IF(G41/E41&gt;0.45,2.5,IF(G41/E41&gt;0.25,2,1.5))</f>
        <v>2</v>
      </c>
      <c r="G41" s="25">
        <v>22000</v>
      </c>
      <c r="H41" s="56" t="s">
        <v>535</v>
      </c>
    </row>
    <row r="42" spans="1:8">
      <c r="A42" s="45" t="s">
        <v>574</v>
      </c>
      <c r="B42" s="49">
        <v>44467</v>
      </c>
      <c r="C42" s="32">
        <v>45150</v>
      </c>
      <c r="D42" s="28" t="s">
        <v>575</v>
      </c>
      <c r="E42" s="24">
        <v>130000</v>
      </c>
      <c r="F42" s="24">
        <f>IF(G42/E42&gt;0.45,2.5,IF(G42/E42&gt;0.25,2,1.5))</f>
        <v>2.5</v>
      </c>
      <c r="G42" s="24">
        <v>62000</v>
      </c>
      <c r="H42" s="55" t="s">
        <v>535</v>
      </c>
    </row>
    <row r="43" spans="1:8">
      <c r="A43" s="46" t="s">
        <v>576</v>
      </c>
      <c r="B43" s="50">
        <v>44479</v>
      </c>
      <c r="C43" s="33">
        <v>45041</v>
      </c>
      <c r="D43" s="29" t="s">
        <v>577</v>
      </c>
      <c r="E43" s="25">
        <v>40000</v>
      </c>
      <c r="F43" s="25">
        <f>IF(G43/E43&gt;0.45,2.5,IF(G43/E43&gt;0.25,2,1.5))</f>
        <v>2</v>
      </c>
      <c r="G43" s="25">
        <v>13000</v>
      </c>
      <c r="H43" s="56" t="s">
        <v>535</v>
      </c>
    </row>
    <row r="44" spans="1:8">
      <c r="A44" s="45" t="s">
        <v>578</v>
      </c>
      <c r="B44" s="49">
        <v>44491</v>
      </c>
      <c r="C44" s="32">
        <v>44883</v>
      </c>
      <c r="D44" s="28" t="s">
        <v>579</v>
      </c>
      <c r="E44" s="24">
        <v>70000</v>
      </c>
      <c r="F44" s="24">
        <f>IF(G44/E44&gt;0.45,2.5,IF(G44/E44&gt;0.25,2,1.5))</f>
        <v>2</v>
      </c>
      <c r="G44" s="24">
        <v>25000</v>
      </c>
      <c r="H44" s="55" t="s">
        <v>535</v>
      </c>
    </row>
    <row r="45" spans="1:8">
      <c r="A45" s="46" t="s">
        <v>580</v>
      </c>
      <c r="B45" s="50">
        <v>44505</v>
      </c>
      <c r="C45" s="33">
        <v>45127</v>
      </c>
      <c r="D45" s="29" t="s">
        <v>581</v>
      </c>
      <c r="E45" s="25">
        <v>150000</v>
      </c>
      <c r="F45" s="25">
        <f>IF(G45/E45&gt;0.45,2.5,IF(G45/E45&gt;0.25,2,1.5))</f>
        <v>2.5</v>
      </c>
      <c r="G45" s="25">
        <v>70000</v>
      </c>
      <c r="H45" s="56" t="s">
        <v>535</v>
      </c>
    </row>
    <row r="46" spans="1:8">
      <c r="A46" s="45" t="s">
        <v>582</v>
      </c>
      <c r="B46" s="49">
        <v>44518</v>
      </c>
      <c r="C46" s="32">
        <v>44962</v>
      </c>
      <c r="D46" s="28" t="s">
        <v>583</v>
      </c>
      <c r="E46" s="24">
        <v>45000</v>
      </c>
      <c r="F46" s="24">
        <f>IF(G46/E46&gt;0.45,2.5,IF(G46/E46&gt;0.25,2,1.5))</f>
        <v>2</v>
      </c>
      <c r="G46" s="24">
        <v>16000</v>
      </c>
      <c r="H46" s="55" t="s">
        <v>535</v>
      </c>
    </row>
    <row r="47" spans="1:8">
      <c r="A47" s="46" t="s">
        <v>584</v>
      </c>
      <c r="B47" s="50">
        <v>44532</v>
      </c>
      <c r="C47" s="33">
        <v>45153</v>
      </c>
      <c r="D47" s="29" t="s">
        <v>585</v>
      </c>
      <c r="E47" s="25">
        <v>80000</v>
      </c>
      <c r="F47" s="25">
        <f>IF(G47/E47&gt;0.45,2.5,IF(G47/E47&gt;0.25,2,1.5))</f>
        <v>2</v>
      </c>
      <c r="G47" s="25">
        <v>34000</v>
      </c>
      <c r="H47" s="56" t="s">
        <v>535</v>
      </c>
    </row>
    <row r="48" spans="1:8">
      <c r="A48" s="45" t="s">
        <v>586</v>
      </c>
      <c r="B48" s="49">
        <v>44545</v>
      </c>
      <c r="C48" s="32">
        <v>45013</v>
      </c>
      <c r="D48" s="28" t="s">
        <v>587</v>
      </c>
      <c r="E48" s="24">
        <v>60000</v>
      </c>
      <c r="F48" s="24">
        <f>IF(G48/E48&gt;0.45,2.5,IF(G48/E48&gt;0.25,2,1.5))</f>
        <v>2</v>
      </c>
      <c r="G48" s="24">
        <v>21000</v>
      </c>
      <c r="H48" s="55" t="s">
        <v>535</v>
      </c>
    </row>
    <row r="49" spans="1:8">
      <c r="A49" s="46" t="s">
        <v>588</v>
      </c>
      <c r="B49" s="50">
        <v>44566</v>
      </c>
      <c r="C49" s="33">
        <v>45211</v>
      </c>
      <c r="D49" s="29" t="s">
        <v>589</v>
      </c>
      <c r="E49" s="25">
        <v>100000</v>
      </c>
      <c r="F49" s="25">
        <f>IF(G49/E49&gt;0.45,2.5,IF(G49/E49&gt;0.25,2,1.5))</f>
        <v>2.5</v>
      </c>
      <c r="G49" s="25">
        <v>46000</v>
      </c>
      <c r="H49" s="56" t="s">
        <v>535</v>
      </c>
    </row>
    <row r="50" spans="1:8">
      <c r="A50" s="45" t="s">
        <v>590</v>
      </c>
      <c r="B50" s="49">
        <v>44579</v>
      </c>
      <c r="C50" s="32">
        <v>45071</v>
      </c>
      <c r="D50" s="28" t="s">
        <v>591</v>
      </c>
      <c r="E50" s="24">
        <v>45000</v>
      </c>
      <c r="F50" s="24">
        <f>IF(G50/E50&gt;0.45,2.5,IF(G50/E50&gt;0.25,2,1.5))</f>
        <v>2</v>
      </c>
      <c r="G50" s="24">
        <v>15000</v>
      </c>
      <c r="H50" s="55" t="s">
        <v>535</v>
      </c>
    </row>
    <row r="51" spans="1:8">
      <c r="A51" s="46" t="s">
        <v>592</v>
      </c>
      <c r="B51" s="50">
        <v>44593</v>
      </c>
      <c r="C51" s="33">
        <v>45278</v>
      </c>
      <c r="D51" s="29" t="s">
        <v>593</v>
      </c>
      <c r="E51" s="25">
        <v>120000</v>
      </c>
      <c r="F51" s="25">
        <f>IF(G51/E51&gt;0.45,2.5,IF(G51/E51&gt;0.25,2,1.5))</f>
        <v>2.5</v>
      </c>
      <c r="G51" s="25">
        <v>55000</v>
      </c>
      <c r="H51" s="56" t="s">
        <v>535</v>
      </c>
    </row>
    <row r="52" spans="1:8">
      <c r="A52" s="45" t="s">
        <v>594</v>
      </c>
      <c r="B52" s="49">
        <v>44606</v>
      </c>
      <c r="C52" s="32">
        <v>45115</v>
      </c>
      <c r="D52" s="28" t="s">
        <v>595</v>
      </c>
      <c r="E52" s="24">
        <v>70000</v>
      </c>
      <c r="F52" s="24">
        <f>IF(G52/E52&gt;0.45,2.5,IF(G52/E52&gt;0.25,2,1.5))</f>
        <v>2</v>
      </c>
      <c r="G52" s="24">
        <v>26000</v>
      </c>
      <c r="H52" s="55" t="s">
        <v>535</v>
      </c>
    </row>
    <row r="53" spans="1:8">
      <c r="A53" s="46" t="s">
        <v>596</v>
      </c>
      <c r="B53" s="50">
        <v>44620</v>
      </c>
      <c r="C53" s="33">
        <v>45036</v>
      </c>
      <c r="D53" s="29" t="s">
        <v>597</v>
      </c>
      <c r="E53" s="25">
        <v>35000</v>
      </c>
      <c r="F53" s="25">
        <f>IF(G53/E53&gt;0.45,2.5,IF(G53/E53&gt;0.25,2,1.5))</f>
        <v>2</v>
      </c>
      <c r="G53" s="25">
        <v>10000</v>
      </c>
      <c r="H53" s="56" t="s">
        <v>535</v>
      </c>
    </row>
    <row r="54" spans="1:8">
      <c r="A54" s="45" t="s">
        <v>598</v>
      </c>
      <c r="B54" s="49">
        <v>44630</v>
      </c>
      <c r="C54" s="32">
        <v>45183</v>
      </c>
      <c r="D54" s="28" t="s">
        <v>599</v>
      </c>
      <c r="E54" s="24">
        <v>90000</v>
      </c>
      <c r="F54" s="24">
        <f>IF(G54/E54&gt;0.45,2.5,IF(G54/E54&gt;0.25,2,1.5))</f>
        <v>2</v>
      </c>
      <c r="G54" s="24">
        <v>39000</v>
      </c>
      <c r="H54" s="55" t="s">
        <v>535</v>
      </c>
    </row>
    <row r="55" spans="1:8">
      <c r="A55" s="46" t="s">
        <v>600</v>
      </c>
      <c r="B55" s="50">
        <v>44644</v>
      </c>
      <c r="C55" s="33">
        <v>45082</v>
      </c>
      <c r="D55" s="29" t="s">
        <v>601</v>
      </c>
      <c r="E55" s="25">
        <v>50000</v>
      </c>
      <c r="F55" s="25">
        <f>IF(G55/E55&gt;0.45,2.5,IF(G55/E55&gt;0.25,2,1.5))</f>
        <v>2</v>
      </c>
      <c r="G55" s="25">
        <v>17000</v>
      </c>
      <c r="H55" s="56" t="s">
        <v>535</v>
      </c>
    </row>
    <row r="56" spans="1:8">
      <c r="A56" s="45" t="s">
        <v>602</v>
      </c>
      <c r="B56" s="49">
        <v>44659</v>
      </c>
      <c r="C56" s="32">
        <v>45313</v>
      </c>
      <c r="D56" s="28" t="s">
        <v>603</v>
      </c>
      <c r="E56" s="24">
        <v>150000</v>
      </c>
      <c r="F56" s="24">
        <f>IF(G56/E56&gt;0.45,2.5,IF(G56/E56&gt;0.25,2,1.5))</f>
        <v>2.5</v>
      </c>
      <c r="G56" s="24">
        <v>72000</v>
      </c>
      <c r="H56" s="55" t="s">
        <v>535</v>
      </c>
    </row>
    <row r="57" spans="1:8">
      <c r="A57" s="46" t="s">
        <v>604</v>
      </c>
      <c r="B57" s="50">
        <v>44673</v>
      </c>
      <c r="C57" s="33">
        <v>45148</v>
      </c>
      <c r="D57" s="29" t="s">
        <v>605</v>
      </c>
      <c r="E57" s="25">
        <v>65000</v>
      </c>
      <c r="F57" s="25">
        <f>IF(G57/E57&gt;0.45,2.5,IF(G57/E57&gt;0.25,2,1.5))</f>
        <v>2</v>
      </c>
      <c r="G57" s="25">
        <v>23000</v>
      </c>
      <c r="H57" s="56" t="s">
        <v>535</v>
      </c>
    </row>
    <row r="58" spans="1:8">
      <c r="A58" s="45" t="s">
        <v>606</v>
      </c>
      <c r="B58" s="49">
        <v>44686</v>
      </c>
      <c r="C58" s="32">
        <v>45350</v>
      </c>
      <c r="D58" s="28" t="s">
        <v>607</v>
      </c>
      <c r="E58" s="24">
        <v>110000</v>
      </c>
      <c r="F58" s="24">
        <f>IF(G58/E58&gt;0.45,2.5,IF(G58/E58&gt;0.25,2,1.5))</f>
        <v>2.5</v>
      </c>
      <c r="G58" s="24">
        <v>51000</v>
      </c>
      <c r="H58" s="55" t="s">
        <v>535</v>
      </c>
    </row>
    <row r="59" spans="1:8">
      <c r="A59" s="46" t="s">
        <v>608</v>
      </c>
      <c r="B59" s="50">
        <v>44699</v>
      </c>
      <c r="C59" s="33">
        <v>45245</v>
      </c>
      <c r="D59" s="29" t="s">
        <v>609</v>
      </c>
      <c r="E59" s="25">
        <v>40000</v>
      </c>
      <c r="F59" s="25">
        <f>IF(G59/E59&gt;0.45,2.5,IF(G59/E59&gt;0.25,2,1.5))</f>
        <v>2</v>
      </c>
      <c r="G59" s="25">
        <v>13000</v>
      </c>
      <c r="H59" s="56" t="s">
        <v>535</v>
      </c>
    </row>
    <row r="60" spans="1:8">
      <c r="A60" s="45" t="s">
        <v>610</v>
      </c>
      <c r="B60" s="49">
        <v>44714</v>
      </c>
      <c r="C60" s="32">
        <v>45419</v>
      </c>
      <c r="D60" s="28" t="s">
        <v>611</v>
      </c>
      <c r="E60" s="24">
        <v>95000</v>
      </c>
      <c r="F60" s="24">
        <f>IF(G60/E60&gt;0.45,2.5,IF(G60/E60&gt;0.25,2,1.5))</f>
        <v>2.5</v>
      </c>
      <c r="G60" s="24">
        <v>43000</v>
      </c>
      <c r="H60" s="55" t="s">
        <v>535</v>
      </c>
    </row>
    <row r="61" spans="1:8">
      <c r="A61" s="46" t="s">
        <v>612</v>
      </c>
      <c r="B61" s="50">
        <v>44727</v>
      </c>
      <c r="C61" s="33">
        <v>45187</v>
      </c>
      <c r="D61" s="29" t="s">
        <v>613</v>
      </c>
      <c r="E61" s="25">
        <v>75000</v>
      </c>
      <c r="F61" s="25">
        <f>IF(G61/E61&gt;0.45,2.5,IF(G61/E61&gt;0.25,2,1.5))</f>
        <v>2</v>
      </c>
      <c r="G61" s="25">
        <v>29000</v>
      </c>
      <c r="H61" s="56" t="s">
        <v>535</v>
      </c>
    </row>
    <row r="62" spans="1:8">
      <c r="A62" s="45" t="s">
        <v>614</v>
      </c>
      <c r="B62" s="49">
        <v>44743</v>
      </c>
      <c r="C62" s="32">
        <v>45363</v>
      </c>
      <c r="D62" s="28" t="s">
        <v>615</v>
      </c>
      <c r="E62" s="24">
        <v>130000</v>
      </c>
      <c r="F62" s="24">
        <f>IF(G62/E62&gt;0.45,2.5,IF(G62/E62&gt;0.25,2,1.5))</f>
        <v>2.5</v>
      </c>
      <c r="G62" s="24">
        <v>61000</v>
      </c>
      <c r="H62" s="55" t="s">
        <v>535</v>
      </c>
    </row>
    <row r="63" spans="1:8">
      <c r="A63" s="46" t="s">
        <v>616</v>
      </c>
      <c r="B63" s="50">
        <v>44756</v>
      </c>
      <c r="C63" s="33">
        <v>45224</v>
      </c>
      <c r="D63" s="29" t="s">
        <v>617</v>
      </c>
      <c r="E63" s="25">
        <v>55000</v>
      </c>
      <c r="F63" s="25">
        <f>IF(G63/E63&gt;0.45,2.5,IF(G63/E63&gt;0.25,2,1.5))</f>
        <v>2</v>
      </c>
      <c r="G63" s="25">
        <v>19000</v>
      </c>
      <c r="H63" s="56" t="s">
        <v>535</v>
      </c>
    </row>
    <row r="64" spans="1:8">
      <c r="A64" s="45" t="s">
        <v>618</v>
      </c>
      <c r="B64" s="49">
        <v>44770</v>
      </c>
      <c r="C64" s="32">
        <v>45299</v>
      </c>
      <c r="D64" s="28" t="s">
        <v>619</v>
      </c>
      <c r="E64" s="24">
        <v>85000</v>
      </c>
      <c r="F64" s="24">
        <f>IF(G64/E64&gt;0.45,2.5,IF(G64/E64&gt;0.25,2,1.5))</f>
        <v>2</v>
      </c>
      <c r="G64" s="24">
        <v>36000</v>
      </c>
      <c r="H64" s="55" t="s">
        <v>535</v>
      </c>
    </row>
    <row r="65" spans="1:8">
      <c r="A65" s="46" t="s">
        <v>620</v>
      </c>
      <c r="B65" s="50">
        <v>44783</v>
      </c>
      <c r="C65" s="33">
        <v>45097</v>
      </c>
      <c r="D65" s="29" t="s">
        <v>621</v>
      </c>
      <c r="E65" s="25">
        <v>30000</v>
      </c>
      <c r="F65" s="25">
        <f>IF(G65/E65&gt;0.45,2.5,IF(G65/E65&gt;0.25,2,1.5))</f>
        <v>2</v>
      </c>
      <c r="G65" s="25">
        <v>8500</v>
      </c>
      <c r="H65" s="56" t="s">
        <v>535</v>
      </c>
    </row>
    <row r="66" spans="1:8">
      <c r="A66" s="45" t="s">
        <v>622</v>
      </c>
      <c r="B66" s="49">
        <v>44798</v>
      </c>
      <c r="C66" s="32">
        <v>45397</v>
      </c>
      <c r="D66" s="28" t="s">
        <v>623</v>
      </c>
      <c r="E66" s="24">
        <v>140000</v>
      </c>
      <c r="F66" s="24">
        <f>IF(G66/E66&gt;0.45,2.5,IF(G66/E66&gt;0.25,2,1.5))</f>
        <v>2.5</v>
      </c>
      <c r="G66" s="24">
        <v>68000</v>
      </c>
      <c r="H66" s="55" t="s">
        <v>535</v>
      </c>
    </row>
    <row r="67" spans="1:8">
      <c r="A67" s="46" t="s">
        <v>624</v>
      </c>
      <c r="B67" s="50">
        <v>44812</v>
      </c>
      <c r="C67" s="33">
        <v>45288</v>
      </c>
      <c r="D67" s="29" t="s">
        <v>625</v>
      </c>
      <c r="E67" s="25">
        <v>60000</v>
      </c>
      <c r="F67" s="25">
        <f>IF(G67/E67&gt;0.45,2.5,IF(G67/E67&gt;0.25,2,1.5))</f>
        <v>2</v>
      </c>
      <c r="G67" s="25">
        <v>22000</v>
      </c>
      <c r="H67" s="56" t="s">
        <v>535</v>
      </c>
    </row>
    <row r="68" spans="1:8">
      <c r="A68" s="45" t="s">
        <v>626</v>
      </c>
      <c r="B68" s="49">
        <v>44826</v>
      </c>
      <c r="C68" s="32">
        <v>45483</v>
      </c>
      <c r="D68" s="28" t="s">
        <v>627</v>
      </c>
      <c r="E68" s="24">
        <v>105000</v>
      </c>
      <c r="F68" s="24">
        <f>IF(G68/E68&gt;0.45,2.5,IF(G68/E68&gt;0.25,2,1.5))</f>
        <v>2.5</v>
      </c>
      <c r="G68" s="24">
        <v>49000</v>
      </c>
      <c r="H68" s="55" t="s">
        <v>535</v>
      </c>
    </row>
    <row r="69" spans="1:8">
      <c r="A69" s="46" t="s">
        <v>628</v>
      </c>
      <c r="B69" s="50">
        <v>44839</v>
      </c>
      <c r="C69" s="33">
        <v>45344</v>
      </c>
      <c r="D69" s="29" t="s">
        <v>629</v>
      </c>
      <c r="E69" s="25">
        <v>45000</v>
      </c>
      <c r="F69" s="25">
        <f>IF(G69/E69&gt;0.45,2.5,IF(G69/E69&gt;0.25,2,1.5))</f>
        <v>2</v>
      </c>
      <c r="G69" s="25">
        <v>15000</v>
      </c>
      <c r="H69" s="56" t="s">
        <v>535</v>
      </c>
    </row>
    <row r="70" spans="1:8">
      <c r="A70" s="45" t="s">
        <v>630</v>
      </c>
      <c r="B70" s="49">
        <v>44852</v>
      </c>
      <c r="C70" s="32">
        <v>45512</v>
      </c>
      <c r="D70" s="28" t="s">
        <v>631</v>
      </c>
      <c r="E70" s="24">
        <v>160000</v>
      </c>
      <c r="F70" s="24">
        <f>IF(G70/E70&gt;0.45,2.5,IF(G70/E70&gt;0.25,2,1.5))</f>
        <v>2.5</v>
      </c>
      <c r="G70" s="24">
        <v>78000</v>
      </c>
      <c r="H70" s="55" t="s">
        <v>535</v>
      </c>
    </row>
    <row r="71" spans="1:8">
      <c r="A71" s="46" t="s">
        <v>632</v>
      </c>
      <c r="B71" s="50">
        <v>44866</v>
      </c>
      <c r="C71" s="33">
        <v>45430</v>
      </c>
      <c r="D71" s="29" t="s">
        <v>633</v>
      </c>
      <c r="E71" s="25">
        <v>70000</v>
      </c>
      <c r="F71" s="25">
        <f>IF(G71/E71&gt;0.45,2.5,IF(G71/E71&gt;0.25,2,1.5))</f>
        <v>2</v>
      </c>
      <c r="G71" s="25">
        <v>27000</v>
      </c>
      <c r="H71" s="56" t="s">
        <v>535</v>
      </c>
    </row>
    <row r="72" spans="1:8">
      <c r="A72" s="45" t="s">
        <v>634</v>
      </c>
      <c r="B72" s="49">
        <v>44880</v>
      </c>
      <c r="C72" s="32">
        <v>45498</v>
      </c>
      <c r="D72" s="28" t="s">
        <v>635</v>
      </c>
      <c r="E72" s="24">
        <v>90000</v>
      </c>
      <c r="F72" s="24">
        <f>IF(G72/E72&gt;0.45,2.5,IF(G72/E72&gt;0.25,2,1.5))</f>
        <v>2.5</v>
      </c>
      <c r="G72" s="24">
        <v>42000</v>
      </c>
      <c r="H72" s="55" t="s">
        <v>535</v>
      </c>
    </row>
    <row r="73" spans="1:8">
      <c r="A73" s="46" t="s">
        <v>636</v>
      </c>
      <c r="B73" s="50">
        <v>44893</v>
      </c>
      <c r="C73" s="33">
        <v>45363</v>
      </c>
      <c r="D73" s="29" t="s">
        <v>637</v>
      </c>
      <c r="E73" s="25">
        <v>50000</v>
      </c>
      <c r="F73" s="25">
        <f>IF(G73/E73&gt;0.45,2.5,IF(G73/E73&gt;0.25,2,1.5))</f>
        <v>2</v>
      </c>
      <c r="G73" s="25">
        <v>18000</v>
      </c>
      <c r="H73" s="56" t="s">
        <v>535</v>
      </c>
    </row>
    <row r="74" spans="1:8">
      <c r="A74" s="45" t="s">
        <v>638</v>
      </c>
      <c r="B74" s="49">
        <v>44905</v>
      </c>
      <c r="C74" s="32">
        <v>45512</v>
      </c>
      <c r="D74" s="28" t="s">
        <v>639</v>
      </c>
      <c r="E74" s="24">
        <v>120000</v>
      </c>
      <c r="F74" s="24">
        <f>IF(G74/E74&gt;0.45,2.5,IF(G74/E74&gt;0.25,2,1.5))</f>
        <v>2.5</v>
      </c>
      <c r="G74" s="24">
        <v>58000</v>
      </c>
      <c r="H74" s="55" t="s">
        <v>535</v>
      </c>
    </row>
    <row r="75" spans="1:8">
      <c r="A75" s="46" t="s">
        <v>640</v>
      </c>
      <c r="B75" s="50">
        <v>44917</v>
      </c>
      <c r="C75" s="33">
        <v>45400</v>
      </c>
      <c r="D75" s="29" t="s">
        <v>641</v>
      </c>
      <c r="E75" s="25">
        <v>65000</v>
      </c>
      <c r="F75" s="25">
        <f>IF(G75/E75&gt;0.45,2.5,IF(G75/E75&gt;0.25,2,1.5))</f>
        <v>2</v>
      </c>
      <c r="G75" s="25">
        <v>24000</v>
      </c>
      <c r="H75" s="56" t="s">
        <v>535</v>
      </c>
    </row>
    <row r="76" spans="1:8">
      <c r="A76" s="45" t="s">
        <v>642</v>
      </c>
      <c r="B76" s="49">
        <v>44931</v>
      </c>
      <c r="C76" s="32">
        <v>45555</v>
      </c>
      <c r="D76" s="28" t="s">
        <v>643</v>
      </c>
      <c r="E76" s="24">
        <v>75000</v>
      </c>
      <c r="F76" s="24">
        <f>IF(G76/E76&gt;0.45,2.5,IF(G76/E76&gt;0.25,2,1.5))</f>
        <v>2</v>
      </c>
      <c r="G76" s="24">
        <v>31000</v>
      </c>
      <c r="H76" s="55" t="s">
        <v>535</v>
      </c>
    </row>
    <row r="77" spans="1:8">
      <c r="A77" s="46" t="s">
        <v>644</v>
      </c>
      <c r="B77" s="50">
        <v>44944</v>
      </c>
      <c r="C77" s="33">
        <v>45414</v>
      </c>
      <c r="D77" s="29" t="s">
        <v>645</v>
      </c>
      <c r="E77" s="25">
        <v>100000</v>
      </c>
      <c r="F77" s="25">
        <f>IF(G77/E77&gt;0.45,2.5,IF(G77/E77&gt;0.25,2,1.5))</f>
        <v>2.5</v>
      </c>
      <c r="G77" s="25">
        <v>47000</v>
      </c>
      <c r="H77" s="56" t="s">
        <v>535</v>
      </c>
    </row>
    <row r="78" spans="1:8">
      <c r="A78" s="45" t="s">
        <v>646</v>
      </c>
      <c r="B78" s="49">
        <v>44958</v>
      </c>
      <c r="C78" s="32">
        <v>45611</v>
      </c>
      <c r="D78" s="28" t="s">
        <v>647</v>
      </c>
      <c r="E78" s="24">
        <v>55000</v>
      </c>
      <c r="F78" s="24">
        <f>IF(G78/E78&gt;0.45,2.5,IF(G78/E78&gt;0.25,2,1.5))</f>
        <v>2</v>
      </c>
      <c r="G78" s="24">
        <v>21000</v>
      </c>
      <c r="H78" s="55" t="s">
        <v>535</v>
      </c>
    </row>
    <row r="79" spans="1:8">
      <c r="A79" s="46" t="s">
        <v>648</v>
      </c>
      <c r="B79" s="50">
        <v>44971</v>
      </c>
      <c r="C79" s="33">
        <v>45471</v>
      </c>
      <c r="D79" s="29" t="s">
        <v>649</v>
      </c>
      <c r="E79" s="25">
        <v>130000</v>
      </c>
      <c r="F79" s="25">
        <f>IF(G79/E79&gt;0.45,2.5,IF(G79/E79&gt;0.25,2,1.5))</f>
        <v>2.5</v>
      </c>
      <c r="G79" s="25">
        <v>62000</v>
      </c>
      <c r="H79" s="56" t="s">
        <v>535</v>
      </c>
    </row>
    <row r="80" spans="1:8">
      <c r="A80" s="45" t="s">
        <v>650</v>
      </c>
      <c r="B80" s="49">
        <v>44985</v>
      </c>
      <c r="C80" s="32">
        <v>45667</v>
      </c>
      <c r="D80" s="28" t="s">
        <v>651</v>
      </c>
      <c r="E80" s="24">
        <v>85000</v>
      </c>
      <c r="F80" s="24">
        <f>IF(G80/E80&gt;0.45,2.5,IF(G80/E80&gt;0.25,2,1.5))</f>
        <v>2.5</v>
      </c>
      <c r="G80" s="24">
        <v>39000</v>
      </c>
      <c r="H80" s="55" t="s">
        <v>535</v>
      </c>
    </row>
    <row r="81" spans="1:8">
      <c r="A81" s="46" t="s">
        <v>652</v>
      </c>
      <c r="B81" s="50">
        <v>44997</v>
      </c>
      <c r="C81" s="33">
        <v>45495</v>
      </c>
      <c r="D81" s="29" t="s">
        <v>653</v>
      </c>
      <c r="E81" s="25">
        <v>45000</v>
      </c>
      <c r="F81" s="25">
        <f>IF(G81/E81&gt;0.45,2.5,IF(G81/E81&gt;0.25,2,1.5))</f>
        <v>2</v>
      </c>
      <c r="G81" s="25">
        <v>15000</v>
      </c>
      <c r="H81" s="56" t="s">
        <v>535</v>
      </c>
    </row>
    <row r="82" spans="1:8">
      <c r="A82" s="45" t="s">
        <v>654</v>
      </c>
      <c r="B82" s="49">
        <v>45010</v>
      </c>
      <c r="C82" s="32">
        <v>45631</v>
      </c>
      <c r="D82" s="28" t="s">
        <v>655</v>
      </c>
      <c r="E82" s="24">
        <v>150000</v>
      </c>
      <c r="F82" s="24">
        <f>IF(G82/E82&gt;0.45,2.5,IF(G82/E82&gt;0.25,2,1.5))</f>
        <v>2.5</v>
      </c>
      <c r="G82" s="24">
        <v>73000</v>
      </c>
      <c r="H82" s="55" t="s">
        <v>535</v>
      </c>
    </row>
    <row r="83" spans="1:8">
      <c r="A83" s="46" t="s">
        <v>656</v>
      </c>
      <c r="B83" s="50">
        <v>45024</v>
      </c>
      <c r="C83" s="33">
        <v>45522</v>
      </c>
      <c r="D83" s="29" t="s">
        <v>657</v>
      </c>
      <c r="E83" s="25">
        <v>70000</v>
      </c>
      <c r="F83" s="25">
        <f>IF(G83/E83&gt;0.45,2.5,IF(G83/E83&gt;0.25,2,1.5))</f>
        <v>2</v>
      </c>
      <c r="G83" s="25">
        <v>27000</v>
      </c>
      <c r="H83" s="56" t="s">
        <v>535</v>
      </c>
    </row>
    <row r="84" spans="1:8">
      <c r="A84" s="45" t="s">
        <v>658</v>
      </c>
      <c r="B84" s="49">
        <v>45038</v>
      </c>
      <c r="C84" s="32">
        <v>45690</v>
      </c>
      <c r="D84" s="28" t="s">
        <v>659</v>
      </c>
      <c r="E84" s="24">
        <v>95000</v>
      </c>
      <c r="F84" s="24">
        <f>IF(G84/E84&gt;0.45,2.5,IF(G84/E84&gt;0.25,2,1.5))</f>
        <v>2.5</v>
      </c>
      <c r="G84" s="24">
        <v>44000</v>
      </c>
      <c r="H84" s="55" t="s">
        <v>535</v>
      </c>
    </row>
    <row r="85" spans="1:8">
      <c r="A85" s="46" t="s">
        <v>660</v>
      </c>
      <c r="B85" s="50">
        <v>45051</v>
      </c>
      <c r="C85" s="33">
        <v>45550</v>
      </c>
      <c r="D85" s="29" t="s">
        <v>661</v>
      </c>
      <c r="E85" s="25">
        <v>40000</v>
      </c>
      <c r="F85" s="25">
        <f>IF(G85/E85&gt;0.45,2.5,IF(G85/E85&gt;0.25,2,1.5))</f>
        <v>2</v>
      </c>
      <c r="G85" s="25">
        <v>12500</v>
      </c>
      <c r="H85" s="56" t="s">
        <v>535</v>
      </c>
    </row>
    <row r="86" spans="1:8">
      <c r="A86" s="45" t="s">
        <v>662</v>
      </c>
      <c r="B86" s="49">
        <v>45064</v>
      </c>
      <c r="C86" s="32">
        <v>45744</v>
      </c>
      <c r="D86" s="28" t="s">
        <v>663</v>
      </c>
      <c r="E86" s="24">
        <v>110000</v>
      </c>
      <c r="F86" s="24">
        <f>IF(G86/E86&gt;0.45,2.5,IF(G86/E86&gt;0.25,2,1.5))</f>
        <v>2.5</v>
      </c>
      <c r="G86" s="24">
        <v>52000</v>
      </c>
      <c r="H86" s="55" t="s">
        <v>535</v>
      </c>
    </row>
    <row r="87" spans="1:8">
      <c r="A87" s="46" t="s">
        <v>664</v>
      </c>
      <c r="B87" s="50">
        <v>45078</v>
      </c>
      <c r="C87" s="33">
        <v>45575</v>
      </c>
      <c r="D87" s="29" t="s">
        <v>665</v>
      </c>
      <c r="E87" s="25">
        <v>60000</v>
      </c>
      <c r="F87" s="25">
        <f>IF(G87/E87&gt;0.45,2.5,IF(G87/E87&gt;0.25,2,1.5))</f>
        <v>2</v>
      </c>
      <c r="G87" s="25">
        <v>22000</v>
      </c>
      <c r="H87" s="56" t="s">
        <v>535</v>
      </c>
    </row>
    <row r="88" spans="1:8">
      <c r="A88" s="45" t="s">
        <v>666</v>
      </c>
      <c r="B88" s="49">
        <v>45091</v>
      </c>
      <c r="C88" s="32">
        <v>45769</v>
      </c>
      <c r="D88" s="28" t="s">
        <v>667</v>
      </c>
      <c r="E88" s="24">
        <v>140000</v>
      </c>
      <c r="F88" s="24">
        <f>IF(G88/E88&gt;0.45,2.5,IF(G88/E88&gt;0.25,2,1.5))</f>
        <v>2.5</v>
      </c>
      <c r="G88" s="24">
        <v>68000</v>
      </c>
      <c r="H88" s="55" t="s">
        <v>535</v>
      </c>
    </row>
    <row r="89" spans="1:8">
      <c r="A89" s="46" t="s">
        <v>668</v>
      </c>
      <c r="B89" s="50">
        <v>45105</v>
      </c>
      <c r="C89" s="33">
        <v>45634</v>
      </c>
      <c r="D89" s="29" t="s">
        <v>669</v>
      </c>
      <c r="E89" s="25">
        <v>50000</v>
      </c>
      <c r="F89" s="25">
        <f>IF(G89/E89&gt;0.45,2.5,IF(G89/E89&gt;0.25,2,1.5))</f>
        <v>2</v>
      </c>
      <c r="G89" s="25">
        <v>17500</v>
      </c>
      <c r="H89" s="56" t="s">
        <v>535</v>
      </c>
    </row>
    <row r="90" spans="1:8">
      <c r="A90" s="45" t="s">
        <v>670</v>
      </c>
      <c r="B90" s="49">
        <v>45119</v>
      </c>
      <c r="C90" s="32">
        <v>45795</v>
      </c>
      <c r="D90" s="28" t="s">
        <v>671</v>
      </c>
      <c r="E90" s="24">
        <v>125000</v>
      </c>
      <c r="F90" s="24">
        <f>IF(G90/E90&gt;0.45,2.5,IF(G90/E90&gt;0.25,2,1.5))</f>
        <v>2.5</v>
      </c>
      <c r="G90" s="24">
        <v>60000</v>
      </c>
      <c r="H90" s="55" t="s">
        <v>535</v>
      </c>
    </row>
    <row r="91" spans="1:8">
      <c r="A91" s="46" t="s">
        <v>672</v>
      </c>
      <c r="B91" s="50">
        <v>45132</v>
      </c>
      <c r="C91" s="33">
        <v>45659</v>
      </c>
      <c r="D91" s="29" t="s">
        <v>673</v>
      </c>
      <c r="E91" s="25">
        <v>80000</v>
      </c>
      <c r="F91" s="25">
        <f>IF(G91/E91&gt;0.45,2.5,IF(G91/E91&gt;0.25,2,1.5))</f>
        <v>2</v>
      </c>
      <c r="G91" s="25">
        <v>35000</v>
      </c>
      <c r="H91" s="56" t="s">
        <v>535</v>
      </c>
    </row>
    <row r="92" spans="1:8">
      <c r="A92" s="45" t="s">
        <v>674</v>
      </c>
      <c r="B92" s="49">
        <v>45146</v>
      </c>
      <c r="C92" s="32">
        <v>45853</v>
      </c>
      <c r="D92" s="28" t="s">
        <v>675</v>
      </c>
      <c r="E92" s="24">
        <v>105000</v>
      </c>
      <c r="F92" s="24">
        <f>IF(G92/E92&gt;0.45,2.5,IF(G92/E92&gt;0.25,2,1.5))</f>
        <v>2.5</v>
      </c>
      <c r="G92" s="24">
        <v>49000</v>
      </c>
      <c r="H92" s="55" t="s">
        <v>535</v>
      </c>
    </row>
    <row r="93" spans="1:8">
      <c r="A93" s="46" t="s">
        <v>676</v>
      </c>
      <c r="B93" s="50">
        <v>45160</v>
      </c>
      <c r="C93" s="33">
        <v>45716</v>
      </c>
      <c r="D93" s="29" t="s">
        <v>677</v>
      </c>
      <c r="E93" s="25">
        <v>65000</v>
      </c>
      <c r="F93" s="25">
        <f>IF(G93/E93&gt;0.45,2.5,IF(G93/E93&gt;0.25,2,1.5))</f>
        <v>2</v>
      </c>
      <c r="G93" s="25">
        <v>24000</v>
      </c>
      <c r="H93" s="56" t="s">
        <v>535</v>
      </c>
    </row>
    <row r="94" spans="1:8">
      <c r="A94" s="45" t="s">
        <v>678</v>
      </c>
      <c r="B94" s="49">
        <v>45174</v>
      </c>
      <c r="C94" s="32">
        <v>45879</v>
      </c>
      <c r="D94" s="28" t="s">
        <v>679</v>
      </c>
      <c r="E94" s="24">
        <v>135000</v>
      </c>
      <c r="F94" s="24">
        <f>IF(G94/E94&gt;0.45,2.5,IF(G94/E94&gt;0.25,2,1.5))</f>
        <v>2.5</v>
      </c>
      <c r="G94" s="24">
        <v>64000</v>
      </c>
      <c r="H94" s="55" t="s">
        <v>535</v>
      </c>
    </row>
    <row r="95" spans="1:8">
      <c r="A95" s="46" t="s">
        <v>680</v>
      </c>
      <c r="B95" s="50">
        <v>45187</v>
      </c>
      <c r="C95" s="33">
        <v>45738</v>
      </c>
      <c r="D95" s="29" t="s">
        <v>563</v>
      </c>
      <c r="E95" s="25">
        <v>55000</v>
      </c>
      <c r="F95" s="25">
        <f>IF(G95/E95&gt;0.45,2.5,IF(G95/E95&gt;0.25,2,1.5))</f>
        <v>2</v>
      </c>
      <c r="G95" s="25">
        <v>19000</v>
      </c>
      <c r="H95" s="56" t="s">
        <v>535</v>
      </c>
    </row>
    <row r="96" spans="1:8">
      <c r="A96" s="45" t="s">
        <v>681</v>
      </c>
      <c r="B96" s="49">
        <v>45200</v>
      </c>
      <c r="C96" s="32">
        <v>45905</v>
      </c>
      <c r="D96" s="28" t="s">
        <v>682</v>
      </c>
      <c r="E96" s="24">
        <v>90000</v>
      </c>
      <c r="F96" s="24">
        <f>IF(G96/E96&gt;0.45,2.5,IF(G96/E96&gt;0.25,2,1.5))</f>
        <v>2.5</v>
      </c>
      <c r="G96" s="24">
        <v>42000</v>
      </c>
      <c r="H96" s="55" t="s">
        <v>535</v>
      </c>
    </row>
    <row r="97" spans="1:8">
      <c r="A97" s="46" t="s">
        <v>683</v>
      </c>
      <c r="B97" s="50">
        <v>45214</v>
      </c>
      <c r="C97" s="33">
        <v>45669</v>
      </c>
      <c r="D97" s="29" t="s">
        <v>684</v>
      </c>
      <c r="E97" s="25">
        <v>75000</v>
      </c>
      <c r="F97" s="25">
        <f>IF(G97/E97&gt;0.45,2.5,IF(G97/E97&gt;0.25,2,1.5))</f>
        <v>2</v>
      </c>
      <c r="G97" s="25">
        <v>32000</v>
      </c>
      <c r="H97" s="56" t="s">
        <v>535</v>
      </c>
    </row>
    <row r="98" spans="1:8">
      <c r="A98" s="45" t="s">
        <v>685</v>
      </c>
      <c r="B98" s="49">
        <v>45227</v>
      </c>
      <c r="C98" s="32">
        <v>45713</v>
      </c>
      <c r="D98" s="28" t="s">
        <v>686</v>
      </c>
      <c r="E98" s="24">
        <v>50000</v>
      </c>
      <c r="F98" s="24">
        <f>IF(G98/E98&gt;0.45,2.5,IF(G98/E98&gt;0.25,2,1.5))</f>
        <v>2</v>
      </c>
      <c r="G98" s="24">
        <v>18000</v>
      </c>
      <c r="H98" s="55" t="s">
        <v>535</v>
      </c>
    </row>
    <row r="99" spans="1:8">
      <c r="A99" s="46" t="s">
        <v>687</v>
      </c>
      <c r="B99" s="50">
        <v>45240</v>
      </c>
      <c r="C99" s="33">
        <v>45734</v>
      </c>
      <c r="D99" s="29" t="s">
        <v>688</v>
      </c>
      <c r="E99" s="25">
        <v>120000</v>
      </c>
      <c r="F99" s="25">
        <f>IF(G99/E99&gt;0.45,2.5,IF(G99/E99&gt;0.25,2,1.5))</f>
        <v>2.5</v>
      </c>
      <c r="G99" s="25">
        <v>55000</v>
      </c>
      <c r="H99" s="56" t="s">
        <v>535</v>
      </c>
    </row>
    <row r="100" spans="1:8">
      <c r="A100" s="45" t="s">
        <v>689</v>
      </c>
      <c r="B100" s="49">
        <v>45252</v>
      </c>
      <c r="C100" s="32">
        <v>45757</v>
      </c>
      <c r="D100" s="28" t="s">
        <v>690</v>
      </c>
      <c r="E100" s="24">
        <v>65000</v>
      </c>
      <c r="F100" s="24">
        <f>IF(G100/E100&gt;0.45,2.5,IF(G100/E100&gt;0.25,2,1.5))</f>
        <v>2</v>
      </c>
      <c r="G100" s="24">
        <v>24000</v>
      </c>
      <c r="H100" s="55" t="s">
        <v>535</v>
      </c>
    </row>
    <row r="101" spans="1:8">
      <c r="A101" s="46" t="s">
        <v>691</v>
      </c>
      <c r="B101" s="50">
        <v>45265</v>
      </c>
      <c r="C101" s="33">
        <v>45799</v>
      </c>
      <c r="D101" s="29" t="s">
        <v>692</v>
      </c>
      <c r="E101" s="25">
        <v>90000</v>
      </c>
      <c r="F101" s="25">
        <f>IF(G101/E101&gt;0.45,2.5,IF(G101/E101&gt;0.25,2,1.5))</f>
        <v>2.5</v>
      </c>
      <c r="G101" s="25">
        <v>42000</v>
      </c>
      <c r="H101" s="56" t="s">
        <v>535</v>
      </c>
    </row>
    <row r="102" spans="1:8">
      <c r="A102" s="45" t="s">
        <v>693</v>
      </c>
      <c r="B102" s="49">
        <v>45278</v>
      </c>
      <c r="C102" s="32">
        <v>45823</v>
      </c>
      <c r="D102" s="28" t="s">
        <v>694</v>
      </c>
      <c r="E102" s="24">
        <v>45000</v>
      </c>
      <c r="F102" s="24">
        <f>IF(G102/E102&gt;0.45,2.5,IF(G102/E102&gt;0.25,2,1.5))</f>
        <v>2</v>
      </c>
      <c r="G102" s="24">
        <v>15000</v>
      </c>
      <c r="H102" s="55" t="s">
        <v>535</v>
      </c>
    </row>
    <row r="103" spans="1:8">
      <c r="A103" s="46" t="s">
        <v>695</v>
      </c>
      <c r="B103" s="50">
        <v>45299</v>
      </c>
      <c r="C103" s="33">
        <v>45866</v>
      </c>
      <c r="D103" s="29" t="s">
        <v>696</v>
      </c>
      <c r="E103" s="25">
        <v>130000</v>
      </c>
      <c r="F103" s="25">
        <f>IF(G103/E103&gt;0.45,2.5,IF(G103/E103&gt;0.25,2,1.5))</f>
        <v>2.5</v>
      </c>
      <c r="G103" s="25">
        <v>62000</v>
      </c>
      <c r="H103" s="56" t="s">
        <v>535</v>
      </c>
    </row>
    <row r="104" spans="1:8">
      <c r="A104" s="45" t="s">
        <v>697</v>
      </c>
      <c r="B104" s="49">
        <v>45311</v>
      </c>
      <c r="C104" s="32">
        <v>45879</v>
      </c>
      <c r="D104" s="28" t="s">
        <v>698</v>
      </c>
      <c r="E104" s="24">
        <v>70000</v>
      </c>
      <c r="F104" s="24">
        <f>IF(G104/E104&gt;0.45,2.5,IF(G104/E104&gt;0.25,2,1.5))</f>
        <v>2</v>
      </c>
      <c r="G104" s="24">
        <v>28000</v>
      </c>
      <c r="H104" s="55" t="s">
        <v>535</v>
      </c>
    </row>
    <row r="105" spans="1:8">
      <c r="A105" s="46" t="s">
        <v>699</v>
      </c>
      <c r="B105" s="50">
        <v>45327</v>
      </c>
      <c r="C105" s="33">
        <v>45922</v>
      </c>
      <c r="D105" s="29" t="s">
        <v>700</v>
      </c>
      <c r="E105" s="25">
        <v>100000</v>
      </c>
      <c r="F105" s="25">
        <f>IF(G105/E105&gt;0.45,2.5,IF(G105/E105&gt;0.25,2,1.5))</f>
        <v>2.5</v>
      </c>
      <c r="G105" s="25">
        <v>47000</v>
      </c>
      <c r="H105" s="56" t="s">
        <v>535</v>
      </c>
    </row>
    <row r="106" spans="1:8">
      <c r="A106" s="45" t="s">
        <v>701</v>
      </c>
      <c r="B106" s="49">
        <v>45340</v>
      </c>
      <c r="C106" s="32">
        <v>45945</v>
      </c>
      <c r="D106" s="28" t="s">
        <v>702</v>
      </c>
      <c r="E106" s="24">
        <v>55000</v>
      </c>
      <c r="F106" s="24">
        <f>IF(G106/E106&gt;0.45,2.5,IF(G106/E106&gt;0.25,2,1.5))</f>
        <v>2</v>
      </c>
      <c r="G106" s="24">
        <v>19000</v>
      </c>
      <c r="H106" s="55" t="s">
        <v>535</v>
      </c>
    </row>
    <row r="107" spans="1:8">
      <c r="A107" s="46" t="s">
        <v>703</v>
      </c>
      <c r="B107" s="50">
        <v>45353</v>
      </c>
      <c r="C107" s="33">
        <v>45989</v>
      </c>
      <c r="D107" s="29" t="s">
        <v>704</v>
      </c>
      <c r="E107" s="25">
        <v>150000</v>
      </c>
      <c r="F107" s="25">
        <f>IF(G107/E107&gt;0.45,2.5,IF(G107/E107&gt;0.25,2,1.5))</f>
        <v>2.5</v>
      </c>
      <c r="G107" s="25">
        <v>72000</v>
      </c>
      <c r="H107" s="56" t="s">
        <v>535</v>
      </c>
    </row>
    <row r="108" spans="1:8">
      <c r="A108" s="45" t="s">
        <v>705</v>
      </c>
      <c r="B108" s="49">
        <v>45366</v>
      </c>
      <c r="C108" s="32">
        <v>46001</v>
      </c>
      <c r="D108" s="28" t="s">
        <v>706</v>
      </c>
      <c r="E108" s="24">
        <v>80000</v>
      </c>
      <c r="F108" s="24">
        <f>IF(G108/E108&gt;0.45,2.5,IF(G108/E108&gt;0.25,2,1.5))</f>
        <v>2</v>
      </c>
      <c r="G108" s="24">
        <v>34000</v>
      </c>
      <c r="H108" s="55" t="s">
        <v>535</v>
      </c>
    </row>
    <row r="109" spans="1:8">
      <c r="A109" s="46" t="s">
        <v>707</v>
      </c>
      <c r="B109" s="50">
        <v>45379</v>
      </c>
      <c r="C109" s="33">
        <v>46027</v>
      </c>
      <c r="D109" s="29" t="s">
        <v>301</v>
      </c>
      <c r="E109" s="25">
        <v>60000</v>
      </c>
      <c r="F109" s="25">
        <f>IF(G109/E109&gt;0.45,2.5,IF(G109/E109&gt;0.25,2,1.5))</f>
        <v>2</v>
      </c>
      <c r="G109" s="25">
        <v>22000</v>
      </c>
      <c r="H109" s="56" t="s">
        <v>535</v>
      </c>
    </row>
    <row r="110" spans="1:8">
      <c r="A110" s="45" t="s">
        <v>708</v>
      </c>
      <c r="B110" s="49">
        <v>45392</v>
      </c>
      <c r="C110" s="32">
        <v>46042</v>
      </c>
      <c r="D110" s="28" t="s">
        <v>627</v>
      </c>
      <c r="E110" s="24">
        <v>140000</v>
      </c>
      <c r="F110" s="24">
        <f>IF(G110/E110&gt;0.45,2.5,IF(G110/E110&gt;0.25,2,1.5))</f>
        <v>2.5</v>
      </c>
      <c r="G110" s="24">
        <v>68000</v>
      </c>
      <c r="H110" s="55" t="s">
        <v>535</v>
      </c>
    </row>
    <row r="111" spans="1:8">
      <c r="A111" s="46" t="s">
        <v>709</v>
      </c>
      <c r="B111" s="50">
        <v>45404</v>
      </c>
      <c r="C111" s="33">
        <v>46068</v>
      </c>
      <c r="D111" s="29" t="s">
        <v>710</v>
      </c>
      <c r="E111" s="25">
        <v>50000</v>
      </c>
      <c r="F111" s="25">
        <f>IF(G111/E111&gt;0.45,2.5,IF(G111/E111&gt;0.25,2,1.5))</f>
        <v>2</v>
      </c>
      <c r="G111" s="25">
        <v>17500</v>
      </c>
      <c r="H111" s="56" t="s">
        <v>535</v>
      </c>
    </row>
    <row r="112" spans="1:8">
      <c r="A112" s="45" t="s">
        <v>711</v>
      </c>
      <c r="B112" s="49">
        <v>45420</v>
      </c>
      <c r="C112" s="32">
        <v>46081</v>
      </c>
      <c r="D112" s="28" t="s">
        <v>712</v>
      </c>
      <c r="E112" s="24">
        <v>110000</v>
      </c>
      <c r="F112" s="24">
        <f>IF(G112/E112&gt;0.45,2.5,IF(G112/E112&gt;0.25,2,1.5))</f>
        <v>2.5</v>
      </c>
      <c r="G112" s="24">
        <v>51000</v>
      </c>
      <c r="H112" s="55" t="s">
        <v>535</v>
      </c>
    </row>
    <row r="113" spans="1:8">
      <c r="A113" s="46" t="s">
        <v>713</v>
      </c>
      <c r="B113" s="50">
        <v>45432</v>
      </c>
      <c r="C113" s="33">
        <v>46093</v>
      </c>
      <c r="D113" s="29" t="s">
        <v>625</v>
      </c>
      <c r="E113" s="25">
        <v>75000</v>
      </c>
      <c r="F113" s="25">
        <f>IF(G113/E113&gt;0.45,2.5,IF(G113/E113&gt;0.25,2,1.5))</f>
        <v>2</v>
      </c>
      <c r="G113" s="25">
        <v>30000</v>
      </c>
      <c r="H113" s="56" t="s">
        <v>535</v>
      </c>
    </row>
    <row r="114" spans="1:8">
      <c r="A114" s="45" t="s">
        <v>714</v>
      </c>
      <c r="B114" s="49">
        <v>45448</v>
      </c>
      <c r="C114" s="32">
        <v>46106</v>
      </c>
      <c r="D114" s="28" t="s">
        <v>631</v>
      </c>
      <c r="E114" s="24">
        <v>125000</v>
      </c>
      <c r="F114" s="24">
        <f>IF(G114/E114&gt;0.45,2.5,IF(G114/E114&gt;0.25,2,1.5))</f>
        <v>2.5</v>
      </c>
      <c r="G114" s="24">
        <v>59000</v>
      </c>
      <c r="H114" s="55" t="s">
        <v>535</v>
      </c>
    </row>
    <row r="115" spans="1:8">
      <c r="A115" s="46" t="s">
        <v>715</v>
      </c>
      <c r="B115" s="50">
        <v>45461</v>
      </c>
      <c r="C115" s="33">
        <v>46122</v>
      </c>
      <c r="D115" s="29" t="s">
        <v>716</v>
      </c>
      <c r="E115" s="25">
        <v>45000</v>
      </c>
      <c r="F115" s="25">
        <f>IF(G115/E115&gt;0.45,2.5,IF(G115/E115&gt;0.25,2,1.5))</f>
        <v>2</v>
      </c>
      <c r="G115" s="25">
        <v>14500</v>
      </c>
      <c r="H115" s="56" t="s">
        <v>535</v>
      </c>
    </row>
    <row r="116" spans="1:8">
      <c r="A116" s="47" t="s">
        <v>717</v>
      </c>
      <c r="B116" s="51">
        <v>45475</v>
      </c>
      <c r="C116" s="34">
        <v>46134</v>
      </c>
      <c r="D116" s="30" t="s">
        <v>718</v>
      </c>
      <c r="E116" s="26">
        <v>90000</v>
      </c>
      <c r="F116" s="26">
        <f>IF(G116/E116&gt;0.45,2.5,IF(G116/E116&gt;0.25,2,1.5))</f>
        <v>2.5</v>
      </c>
      <c r="G116" s="26">
        <v>41000</v>
      </c>
      <c r="H116" s="57" t="s">
        <v>535</v>
      </c>
    </row>
    <row r="117" spans="1:8">
      <c r="A117" s="41" t="s">
        <v>719</v>
      </c>
      <c r="B117" s="52">
        <v>45488</v>
      </c>
      <c r="C117" s="38">
        <v>46147</v>
      </c>
      <c r="D117" s="41" t="s">
        <v>720</v>
      </c>
      <c r="E117" s="35">
        <v>65000</v>
      </c>
      <c r="F117" s="35">
        <f>IF(G117/E117&gt;0.45,2.5,IF(G117/E117&gt;0.25,2,1.5))</f>
        <v>2</v>
      </c>
      <c r="G117" s="35">
        <v>23000</v>
      </c>
      <c r="H117" s="58" t="s">
        <v>535</v>
      </c>
    </row>
    <row r="118" spans="1:8">
      <c r="A118" s="42" t="s">
        <v>721</v>
      </c>
      <c r="B118" s="53">
        <v>45501</v>
      </c>
      <c r="C118" s="39">
        <v>46160</v>
      </c>
      <c r="D118" s="42" t="s">
        <v>722</v>
      </c>
      <c r="E118" s="36">
        <v>120000</v>
      </c>
      <c r="F118" s="36">
        <f>IF(G118/E118&gt;0.45,2.5,IF(G118/E118&gt;0.25,2,1.5))</f>
        <v>2.5</v>
      </c>
      <c r="G118" s="36">
        <v>56000</v>
      </c>
      <c r="H118" s="59" t="s">
        <v>535</v>
      </c>
    </row>
    <row r="119" spans="1:8">
      <c r="A119" s="41" t="s">
        <v>723</v>
      </c>
      <c r="B119" s="52">
        <v>45514</v>
      </c>
      <c r="C119" s="38">
        <v>46170</v>
      </c>
      <c r="D119" s="41" t="s">
        <v>724</v>
      </c>
      <c r="E119" s="35">
        <v>70000</v>
      </c>
      <c r="F119" s="35">
        <f>IF(G119/E119&gt;0.45,2.5,IF(G119/E119&gt;0.25,2,1.5))</f>
        <v>2</v>
      </c>
      <c r="G119" s="35">
        <v>26000</v>
      </c>
      <c r="H119" s="58" t="s">
        <v>535</v>
      </c>
    </row>
    <row r="120" spans="1:8">
      <c r="A120" s="42" t="s">
        <v>725</v>
      </c>
      <c r="B120" s="53">
        <v>45526</v>
      </c>
      <c r="C120" s="39">
        <v>46183</v>
      </c>
      <c r="D120" s="42" t="s">
        <v>726</v>
      </c>
      <c r="E120" s="36">
        <v>160000</v>
      </c>
      <c r="F120" s="36">
        <f>IF(G120/E120&gt;0.45,2.5,IF(G120/E120&gt;0.25,2,1.5))</f>
        <v>2.5</v>
      </c>
      <c r="G120" s="36">
        <v>78000</v>
      </c>
      <c r="H120" s="59" t="s">
        <v>535</v>
      </c>
    </row>
    <row r="121" spans="1:8">
      <c r="A121" s="41" t="s">
        <v>727</v>
      </c>
      <c r="B121" s="52">
        <v>45540</v>
      </c>
      <c r="C121" s="38">
        <v>46193</v>
      </c>
      <c r="D121" s="41" t="s">
        <v>728</v>
      </c>
      <c r="E121" s="35">
        <v>85000</v>
      </c>
      <c r="F121" s="35">
        <f>IF(G121/E121&gt;0.45,2.5,IF(G121/E121&gt;0.25,2,1.5))</f>
        <v>2</v>
      </c>
      <c r="G121" s="35">
        <v>36000</v>
      </c>
      <c r="H121" s="58" t="s">
        <v>535</v>
      </c>
    </row>
    <row r="122" spans="1:8">
      <c r="A122" s="42" t="s">
        <v>729</v>
      </c>
      <c r="B122" s="53">
        <v>45667</v>
      </c>
      <c r="C122" s="39">
        <v>45945</v>
      </c>
      <c r="D122" s="42" t="s">
        <v>730</v>
      </c>
      <c r="E122" s="36">
        <v>50000</v>
      </c>
      <c r="F122" s="36">
        <f>IF(G122/E122&gt;0.45,2.5,IF(G122/E122&gt;0.25,2,1.5))</f>
        <v>1.5</v>
      </c>
      <c r="G122" s="36">
        <v>9000</v>
      </c>
      <c r="H122" s="59" t="s">
        <v>535</v>
      </c>
    </row>
    <row r="123" spans="1:8">
      <c r="A123" s="41" t="s">
        <v>731</v>
      </c>
      <c r="B123" s="52">
        <v>45675</v>
      </c>
      <c r="C123" s="38">
        <v>45981</v>
      </c>
      <c r="D123" s="41" t="s">
        <v>732</v>
      </c>
      <c r="E123" s="35">
        <v>75000</v>
      </c>
      <c r="F123" s="35">
        <f>IF(G123/E123&gt;0.45,2.5,IF(G123/E123&gt;0.25,2,1.5))</f>
        <v>1.5</v>
      </c>
      <c r="G123" s="35">
        <v>14000</v>
      </c>
      <c r="H123" s="58" t="s">
        <v>535</v>
      </c>
    </row>
    <row r="124" spans="1:8">
      <c r="A124" s="42" t="s">
        <v>733</v>
      </c>
      <c r="B124" s="53">
        <v>45693</v>
      </c>
      <c r="C124" s="39">
        <v>46001</v>
      </c>
      <c r="D124" s="42" t="s">
        <v>734</v>
      </c>
      <c r="E124" s="36">
        <v>100000</v>
      </c>
      <c r="F124" s="36">
        <f>IF(G124/E124&gt;0.45,2.5,IF(G124/E124&gt;0.25,2,1.5))</f>
        <v>1.5</v>
      </c>
      <c r="G124" s="36">
        <v>18000</v>
      </c>
      <c r="H124" s="59" t="s">
        <v>535</v>
      </c>
    </row>
    <row r="125" spans="1:8">
      <c r="A125" s="41" t="s">
        <v>735</v>
      </c>
      <c r="B125" s="52">
        <v>45710</v>
      </c>
      <c r="C125" s="38">
        <v>46037</v>
      </c>
      <c r="D125" s="41" t="s">
        <v>724</v>
      </c>
      <c r="E125" s="35">
        <v>60000</v>
      </c>
      <c r="F125" s="35">
        <f>IF(G125/E125&gt;0.45,2.5,IF(G125/E125&gt;0.25,2,1.5))</f>
        <v>1.5</v>
      </c>
      <c r="G125" s="35">
        <v>10000</v>
      </c>
      <c r="H125" s="58" t="s">
        <v>535</v>
      </c>
    </row>
    <row r="126" spans="1:8">
      <c r="A126" s="42" t="s">
        <v>736</v>
      </c>
      <c r="B126" s="53">
        <v>45726</v>
      </c>
      <c r="C126" s="39">
        <v>46073</v>
      </c>
      <c r="D126" s="42" t="s">
        <v>737</v>
      </c>
      <c r="E126" s="36">
        <v>120000</v>
      </c>
      <c r="F126" s="36">
        <f>IF(G126/E126&gt;0.45,2.5,IF(G126/E126&gt;0.25,2,1.5))</f>
        <v>1.5</v>
      </c>
      <c r="G126" s="36">
        <v>22000</v>
      </c>
      <c r="H126" s="59" t="s">
        <v>535</v>
      </c>
    </row>
    <row r="127" spans="1:8">
      <c r="A127" s="41" t="s">
        <v>738</v>
      </c>
      <c r="B127" s="52">
        <v>45741</v>
      </c>
      <c r="C127" s="38">
        <v>46096</v>
      </c>
      <c r="D127" s="41" t="s">
        <v>447</v>
      </c>
      <c r="E127" s="35">
        <v>80000</v>
      </c>
      <c r="F127" s="35">
        <f>IF(G127/E127&gt;0.45,2.5,IF(G127/E127&gt;0.25,2,1.5))</f>
        <v>1.5</v>
      </c>
      <c r="G127" s="35">
        <v>14000</v>
      </c>
      <c r="H127" s="58" t="s">
        <v>535</v>
      </c>
    </row>
    <row r="128" spans="1:8">
      <c r="A128" s="42" t="s">
        <v>739</v>
      </c>
      <c r="B128" s="53">
        <v>45759</v>
      </c>
      <c r="C128" s="39">
        <v>46122</v>
      </c>
      <c r="D128" s="42" t="s">
        <v>740</v>
      </c>
      <c r="E128" s="36">
        <v>90000</v>
      </c>
      <c r="F128" s="36">
        <f>IF(G128/E128&gt;0.45,2.5,IF(G128/E128&gt;0.25,2,1.5))</f>
        <v>1.5</v>
      </c>
      <c r="G128" s="36">
        <v>16000</v>
      </c>
      <c r="H128" s="59" t="s">
        <v>535</v>
      </c>
    </row>
    <row r="129" spans="1:8">
      <c r="A129" s="41" t="s">
        <v>741</v>
      </c>
      <c r="B129" s="52">
        <v>45778</v>
      </c>
      <c r="C129" s="38">
        <v>46147</v>
      </c>
      <c r="D129" s="41" t="s">
        <v>742</v>
      </c>
      <c r="E129" s="35">
        <v>70000</v>
      </c>
      <c r="F129" s="35">
        <f>IF(G129/E129&gt;0.45,2.5,IF(G129/E129&gt;0.25,2,1.5))</f>
        <v>1.5</v>
      </c>
      <c r="G129" s="35">
        <v>12000</v>
      </c>
      <c r="H129" s="58" t="s">
        <v>535</v>
      </c>
    </row>
    <row r="130" spans="1:8">
      <c r="A130" s="42" t="s">
        <v>743</v>
      </c>
      <c r="B130" s="53">
        <v>45795</v>
      </c>
      <c r="C130" s="39">
        <v>46162</v>
      </c>
      <c r="D130" s="42" t="s">
        <v>726</v>
      </c>
      <c r="E130" s="36">
        <v>150000</v>
      </c>
      <c r="F130" s="36">
        <f>IF(G130/E130&gt;0.45,2.5,IF(G130/E130&gt;0.25,2,1.5))</f>
        <v>1.5</v>
      </c>
      <c r="G130" s="36">
        <v>28000</v>
      </c>
      <c r="H130" s="59" t="s">
        <v>535</v>
      </c>
    </row>
    <row r="131" spans="1:8">
      <c r="A131" s="41" t="s">
        <v>744</v>
      </c>
      <c r="B131" s="52">
        <v>45810</v>
      </c>
      <c r="C131" s="38">
        <v>46188</v>
      </c>
      <c r="D131" s="41" t="s">
        <v>700</v>
      </c>
      <c r="E131" s="35">
        <v>110000</v>
      </c>
      <c r="F131" s="35">
        <f>IF(G131/E131&gt;0.45,2.5,IF(G131/E131&gt;0.25,2,1.5))</f>
        <v>1.5</v>
      </c>
      <c r="G131" s="35">
        <v>20000</v>
      </c>
      <c r="H131" s="58" t="s">
        <v>535</v>
      </c>
    </row>
    <row r="132" spans="1:8">
      <c r="A132" s="42" t="s">
        <v>745</v>
      </c>
      <c r="B132" s="53">
        <v>46032</v>
      </c>
      <c r="C132" s="39">
        <v>46132</v>
      </c>
      <c r="D132" s="42" t="s">
        <v>746</v>
      </c>
      <c r="E132" s="36">
        <v>50000</v>
      </c>
      <c r="F132" s="36">
        <f>IF(G132/E132&gt;0.45,2.5,IF(G132/E132&gt;0.25,2,1.5))</f>
        <v>1.5</v>
      </c>
      <c r="G132" s="36">
        <v>5000</v>
      </c>
      <c r="H132" s="59" t="s">
        <v>535</v>
      </c>
    </row>
    <row r="133" spans="1:8">
      <c r="A133" s="41" t="s">
        <v>747</v>
      </c>
      <c r="B133" s="52">
        <v>46047</v>
      </c>
      <c r="C133" s="38">
        <v>46157</v>
      </c>
      <c r="D133" s="41" t="s">
        <v>748</v>
      </c>
      <c r="E133" s="35">
        <v>65000</v>
      </c>
      <c r="F133" s="35">
        <f>IF(G133/E133&gt;0.45,2.5,IF(G133/E133&gt;0.25,2,1.5))</f>
        <v>1.5</v>
      </c>
      <c r="G133" s="35">
        <v>6500</v>
      </c>
      <c r="H133" s="58" t="s">
        <v>535</v>
      </c>
    </row>
    <row r="134" spans="1:8">
      <c r="A134" s="42" t="s">
        <v>749</v>
      </c>
      <c r="B134" s="53">
        <v>46061</v>
      </c>
      <c r="C134" s="39">
        <v>46174</v>
      </c>
      <c r="D134" s="42" t="s">
        <v>750</v>
      </c>
      <c r="E134" s="36">
        <v>100000</v>
      </c>
      <c r="F134" s="36">
        <f>IF(G134/E134&gt;0.45,2.5,IF(G134/E134&gt;0.25,2,1.5))</f>
        <v>1.5</v>
      </c>
      <c r="G134" s="36">
        <v>10000</v>
      </c>
      <c r="H134" s="59" t="s">
        <v>535</v>
      </c>
    </row>
    <row r="135" spans="1:8">
      <c r="A135" s="41" t="s">
        <v>751</v>
      </c>
      <c r="B135" s="52">
        <v>46073</v>
      </c>
      <c r="C135" s="38">
        <v>46188</v>
      </c>
      <c r="D135" s="41" t="s">
        <v>752</v>
      </c>
      <c r="E135" s="35">
        <v>85000</v>
      </c>
      <c r="F135" s="35">
        <f>IF(G135/E135&gt;0.45,2.5,IF(G135/E135&gt;0.25,2,1.5))</f>
        <v>1.5</v>
      </c>
      <c r="G135" s="35">
        <v>8500</v>
      </c>
      <c r="H135" s="58" t="s">
        <v>535</v>
      </c>
    </row>
    <row r="136" spans="1:8">
      <c r="A136" s="42" t="s">
        <v>753</v>
      </c>
      <c r="B136" s="53">
        <v>46086</v>
      </c>
      <c r="C136" s="39">
        <v>46193</v>
      </c>
      <c r="D136" s="42" t="s">
        <v>192</v>
      </c>
      <c r="E136" s="36">
        <v>70000</v>
      </c>
      <c r="F136" s="36">
        <f>IF(G136/E136&gt;0.45,2.5,IF(G136/E136&gt;0.25,2,1.5))</f>
        <v>1.5</v>
      </c>
      <c r="G136" s="36">
        <v>7000</v>
      </c>
      <c r="H136" s="59" t="s">
        <v>535</v>
      </c>
    </row>
    <row r="137" spans="1:8">
      <c r="A137" s="61" t="s">
        <v>6</v>
      </c>
      <c r="B137" s="63">
        <v>44641</v>
      </c>
      <c r="C137" s="27" t="s">
        <v>779</v>
      </c>
      <c r="D137" s="65" t="s">
        <v>7</v>
      </c>
      <c r="E137" s="67">
        <v>45000</v>
      </c>
      <c r="F137" s="30">
        <f>IF(E137&lt;=50000,1.5,IF(E137&lt;=100000,2,2.5))</f>
        <v>1.5</v>
      </c>
      <c r="G137" s="27" t="s">
        <v>779</v>
      </c>
      <c r="H137" s="57" t="s">
        <v>8</v>
      </c>
    </row>
    <row r="138" spans="1:8">
      <c r="A138" s="62" t="s">
        <v>9</v>
      </c>
      <c r="B138" s="64">
        <v>44693</v>
      </c>
      <c r="C138" s="27" t="s">
        <v>779</v>
      </c>
      <c r="D138" s="66" t="s">
        <v>10</v>
      </c>
      <c r="E138" s="68">
        <v>60000</v>
      </c>
      <c r="F138" s="70">
        <f t="shared" ref="F138:F201" si="0">IF(E138&lt;=50000,1.5,IF(E138&lt;=100000,2,2.5))</f>
        <v>2</v>
      </c>
      <c r="G138" s="27" t="s">
        <v>779</v>
      </c>
      <c r="H138" s="71" t="s">
        <v>8</v>
      </c>
    </row>
    <row r="139" spans="1:8">
      <c r="A139" s="61" t="s">
        <v>11</v>
      </c>
      <c r="B139" s="63">
        <v>44319</v>
      </c>
      <c r="C139" s="27" t="s">
        <v>779</v>
      </c>
      <c r="D139" s="65" t="s">
        <v>12</v>
      </c>
      <c r="E139" s="67">
        <v>30000</v>
      </c>
      <c r="F139" s="30">
        <f t="shared" si="0"/>
        <v>1.5</v>
      </c>
      <c r="G139" s="27" t="s">
        <v>779</v>
      </c>
      <c r="H139" s="57" t="s">
        <v>8</v>
      </c>
    </row>
    <row r="140" spans="1:8">
      <c r="A140" s="62" t="s">
        <v>13</v>
      </c>
      <c r="B140" s="64">
        <v>44467</v>
      </c>
      <c r="C140" s="27" t="s">
        <v>779</v>
      </c>
      <c r="D140" s="66" t="s">
        <v>14</v>
      </c>
      <c r="E140" s="68">
        <v>83000</v>
      </c>
      <c r="F140" s="70">
        <f t="shared" si="0"/>
        <v>2</v>
      </c>
      <c r="G140" s="27" t="s">
        <v>779</v>
      </c>
      <c r="H140" s="71" t="s">
        <v>8</v>
      </c>
    </row>
    <row r="141" spans="1:8">
      <c r="A141" s="61" t="s">
        <v>15</v>
      </c>
      <c r="B141" s="63">
        <v>44517</v>
      </c>
      <c r="C141" s="27" t="s">
        <v>779</v>
      </c>
      <c r="D141" s="65" t="s">
        <v>7</v>
      </c>
      <c r="E141" s="67">
        <v>100000</v>
      </c>
      <c r="F141" s="30">
        <f t="shared" si="0"/>
        <v>2</v>
      </c>
      <c r="G141" s="27" t="s">
        <v>779</v>
      </c>
      <c r="H141" s="57" t="s">
        <v>8</v>
      </c>
    </row>
    <row r="142" spans="1:8">
      <c r="A142" s="62" t="s">
        <v>16</v>
      </c>
      <c r="B142" s="64">
        <v>44345</v>
      </c>
      <c r="C142" s="27" t="s">
        <v>779</v>
      </c>
      <c r="D142" s="66" t="s">
        <v>17</v>
      </c>
      <c r="E142" s="68">
        <v>40000</v>
      </c>
      <c r="F142" s="70">
        <f t="shared" si="0"/>
        <v>1.5</v>
      </c>
      <c r="G142" s="27" t="s">
        <v>779</v>
      </c>
      <c r="H142" s="71" t="s">
        <v>8</v>
      </c>
    </row>
    <row r="143" spans="1:8">
      <c r="A143" s="61" t="s">
        <v>18</v>
      </c>
      <c r="B143" s="63">
        <v>44879</v>
      </c>
      <c r="C143" s="27" t="s">
        <v>779</v>
      </c>
      <c r="D143" s="65" t="s">
        <v>19</v>
      </c>
      <c r="E143" s="67">
        <v>134650</v>
      </c>
      <c r="F143" s="30">
        <f t="shared" si="0"/>
        <v>2.5</v>
      </c>
      <c r="G143" s="27" t="s">
        <v>779</v>
      </c>
      <c r="H143" s="57" t="s">
        <v>8</v>
      </c>
    </row>
    <row r="144" spans="1:8">
      <c r="A144" s="62" t="s">
        <v>20</v>
      </c>
      <c r="B144" s="64">
        <v>44898</v>
      </c>
      <c r="C144" s="27" t="s">
        <v>779</v>
      </c>
      <c r="D144" s="66" t="s">
        <v>21</v>
      </c>
      <c r="E144" s="68">
        <v>127000</v>
      </c>
      <c r="F144" s="70">
        <f t="shared" si="0"/>
        <v>2.5</v>
      </c>
      <c r="G144" s="27" t="s">
        <v>779</v>
      </c>
      <c r="H144" s="71" t="s">
        <v>8</v>
      </c>
    </row>
    <row r="145" spans="1:8">
      <c r="A145" s="61" t="s">
        <v>22</v>
      </c>
      <c r="B145" s="63">
        <v>45004</v>
      </c>
      <c r="C145" s="27" t="s">
        <v>779</v>
      </c>
      <c r="D145" s="65" t="s">
        <v>23</v>
      </c>
      <c r="E145" s="67">
        <v>110000</v>
      </c>
      <c r="F145" s="30">
        <f t="shared" si="0"/>
        <v>2.5</v>
      </c>
      <c r="G145" s="27" t="s">
        <v>779</v>
      </c>
      <c r="H145" s="57" t="s">
        <v>8</v>
      </c>
    </row>
    <row r="146" spans="1:8">
      <c r="A146" s="62" t="s">
        <v>24</v>
      </c>
      <c r="B146" s="64">
        <v>45098</v>
      </c>
      <c r="C146" s="27" t="s">
        <v>779</v>
      </c>
      <c r="D146" s="66" t="s">
        <v>25</v>
      </c>
      <c r="E146" s="68">
        <v>63000</v>
      </c>
      <c r="F146" s="70">
        <f t="shared" si="0"/>
        <v>2</v>
      </c>
      <c r="G146" s="27" t="s">
        <v>779</v>
      </c>
      <c r="H146" s="71" t="s">
        <v>8</v>
      </c>
    </row>
    <row r="147" spans="1:8">
      <c r="A147" s="61" t="s">
        <v>26</v>
      </c>
      <c r="B147" s="63">
        <v>45129</v>
      </c>
      <c r="C147" s="27" t="s">
        <v>779</v>
      </c>
      <c r="D147" s="65" t="s">
        <v>27</v>
      </c>
      <c r="E147" s="67">
        <v>90000</v>
      </c>
      <c r="F147" s="30">
        <f t="shared" si="0"/>
        <v>2</v>
      </c>
      <c r="G147" s="27" t="s">
        <v>779</v>
      </c>
      <c r="H147" s="57" t="s">
        <v>8</v>
      </c>
    </row>
    <row r="148" spans="1:8">
      <c r="A148" s="62" t="s">
        <v>28</v>
      </c>
      <c r="B148" s="64">
        <v>45136</v>
      </c>
      <c r="C148" s="27" t="s">
        <v>779</v>
      </c>
      <c r="D148" s="66" t="s">
        <v>29</v>
      </c>
      <c r="E148" s="68">
        <v>40000</v>
      </c>
      <c r="F148" s="70">
        <f t="shared" si="0"/>
        <v>1.5</v>
      </c>
      <c r="G148" s="27" t="s">
        <v>779</v>
      </c>
      <c r="H148" s="71" t="s">
        <v>8</v>
      </c>
    </row>
    <row r="149" spans="1:8">
      <c r="A149" s="61" t="s">
        <v>30</v>
      </c>
      <c r="B149" s="63">
        <v>45194</v>
      </c>
      <c r="C149" s="27" t="s">
        <v>779</v>
      </c>
      <c r="D149" s="65" t="s">
        <v>31</v>
      </c>
      <c r="E149" s="67">
        <v>80000</v>
      </c>
      <c r="F149" s="30">
        <f t="shared" si="0"/>
        <v>2</v>
      </c>
      <c r="G149" s="27" t="s">
        <v>779</v>
      </c>
      <c r="H149" s="57" t="s">
        <v>8</v>
      </c>
    </row>
    <row r="150" spans="1:8">
      <c r="A150" s="62" t="s">
        <v>32</v>
      </c>
      <c r="B150" s="64">
        <v>45204</v>
      </c>
      <c r="C150" s="27" t="s">
        <v>779</v>
      </c>
      <c r="D150" s="66" t="s">
        <v>33</v>
      </c>
      <c r="E150" s="68">
        <v>30000</v>
      </c>
      <c r="F150" s="70">
        <f t="shared" si="0"/>
        <v>1.5</v>
      </c>
      <c r="G150" s="27" t="s">
        <v>779</v>
      </c>
      <c r="H150" s="71" t="s">
        <v>8</v>
      </c>
    </row>
    <row r="151" spans="1:8">
      <c r="A151" s="61" t="s">
        <v>34</v>
      </c>
      <c r="B151" s="63">
        <v>45203</v>
      </c>
      <c r="C151" s="27" t="s">
        <v>779</v>
      </c>
      <c r="D151" s="65" t="s">
        <v>35</v>
      </c>
      <c r="E151" s="67">
        <v>70000</v>
      </c>
      <c r="F151" s="30">
        <f t="shared" si="0"/>
        <v>2</v>
      </c>
      <c r="G151" s="27" t="s">
        <v>779</v>
      </c>
      <c r="H151" s="57" t="s">
        <v>8</v>
      </c>
    </row>
    <row r="152" spans="1:8">
      <c r="A152" s="62" t="s">
        <v>36</v>
      </c>
      <c r="B152" s="64">
        <v>45217</v>
      </c>
      <c r="C152" s="27" t="s">
        <v>779</v>
      </c>
      <c r="D152" s="66" t="s">
        <v>37</v>
      </c>
      <c r="E152" s="68">
        <v>70000</v>
      </c>
      <c r="F152" s="70">
        <f t="shared" si="0"/>
        <v>2</v>
      </c>
      <c r="G152" s="27" t="s">
        <v>779</v>
      </c>
      <c r="H152" s="71" t="s">
        <v>8</v>
      </c>
    </row>
    <row r="153" spans="1:8">
      <c r="A153" s="61" t="s">
        <v>38</v>
      </c>
      <c r="B153" s="63">
        <v>45257</v>
      </c>
      <c r="C153" s="27" t="s">
        <v>779</v>
      </c>
      <c r="D153" s="65" t="s">
        <v>39</v>
      </c>
      <c r="E153" s="67">
        <v>32000</v>
      </c>
      <c r="F153" s="30">
        <f t="shared" si="0"/>
        <v>1.5</v>
      </c>
      <c r="G153" s="27" t="s">
        <v>779</v>
      </c>
      <c r="H153" s="57" t="s">
        <v>8</v>
      </c>
    </row>
    <row r="154" spans="1:8">
      <c r="A154" s="62" t="s">
        <v>40</v>
      </c>
      <c r="B154" s="64">
        <v>45260</v>
      </c>
      <c r="C154" s="27" t="s">
        <v>779</v>
      </c>
      <c r="D154" s="66" t="s">
        <v>41</v>
      </c>
      <c r="E154" s="68">
        <v>20000</v>
      </c>
      <c r="F154" s="70">
        <f t="shared" si="0"/>
        <v>1.5</v>
      </c>
      <c r="G154" s="27" t="s">
        <v>779</v>
      </c>
      <c r="H154" s="71" t="s">
        <v>8</v>
      </c>
    </row>
    <row r="155" spans="1:8">
      <c r="A155" s="61" t="s">
        <v>42</v>
      </c>
      <c r="B155" s="63">
        <v>45295</v>
      </c>
      <c r="C155" s="27" t="s">
        <v>779</v>
      </c>
      <c r="D155" s="65" t="s">
        <v>43</v>
      </c>
      <c r="E155" s="67">
        <v>20000</v>
      </c>
      <c r="F155" s="30">
        <f t="shared" si="0"/>
        <v>1.5</v>
      </c>
      <c r="G155" s="27" t="s">
        <v>779</v>
      </c>
      <c r="H155" s="57" t="s">
        <v>8</v>
      </c>
    </row>
    <row r="156" spans="1:8">
      <c r="A156" s="62" t="s">
        <v>44</v>
      </c>
      <c r="B156" s="64">
        <v>45280</v>
      </c>
      <c r="C156" s="27" t="s">
        <v>779</v>
      </c>
      <c r="D156" s="66" t="s">
        <v>45</v>
      </c>
      <c r="E156" s="68">
        <v>110000</v>
      </c>
      <c r="F156" s="70">
        <f t="shared" si="0"/>
        <v>2.5</v>
      </c>
      <c r="G156" s="27" t="s">
        <v>779</v>
      </c>
      <c r="H156" s="71" t="s">
        <v>8</v>
      </c>
    </row>
    <row r="157" spans="1:8">
      <c r="A157" s="61" t="s">
        <v>46</v>
      </c>
      <c r="B157" s="63">
        <v>45311</v>
      </c>
      <c r="C157" s="27" t="s">
        <v>779</v>
      </c>
      <c r="D157" s="65" t="s">
        <v>35</v>
      </c>
      <c r="E157" s="67">
        <v>30000</v>
      </c>
      <c r="F157" s="30">
        <f t="shared" si="0"/>
        <v>1.5</v>
      </c>
      <c r="G157" s="27" t="s">
        <v>779</v>
      </c>
      <c r="H157" s="57" t="s">
        <v>8</v>
      </c>
    </row>
    <row r="158" spans="1:8">
      <c r="A158" s="62" t="s">
        <v>47</v>
      </c>
      <c r="B158" s="64">
        <v>45337</v>
      </c>
      <c r="C158" s="27" t="s">
        <v>779</v>
      </c>
      <c r="D158" s="66" t="s">
        <v>48</v>
      </c>
      <c r="E158" s="68">
        <v>340000</v>
      </c>
      <c r="F158" s="70">
        <f t="shared" si="0"/>
        <v>2.5</v>
      </c>
      <c r="G158" s="27" t="s">
        <v>779</v>
      </c>
      <c r="H158" s="71" t="s">
        <v>8</v>
      </c>
    </row>
    <row r="159" spans="1:8">
      <c r="A159" s="61" t="s">
        <v>49</v>
      </c>
      <c r="B159" s="63">
        <v>45341</v>
      </c>
      <c r="C159" s="27" t="s">
        <v>779</v>
      </c>
      <c r="D159" s="65" t="s">
        <v>50</v>
      </c>
      <c r="E159" s="67">
        <v>70000</v>
      </c>
      <c r="F159" s="30">
        <f t="shared" si="0"/>
        <v>2</v>
      </c>
      <c r="G159" s="27" t="s">
        <v>779</v>
      </c>
      <c r="H159" s="57" t="s">
        <v>8</v>
      </c>
    </row>
    <row r="160" spans="1:8">
      <c r="A160" s="62" t="s">
        <v>51</v>
      </c>
      <c r="B160" s="64">
        <v>45386</v>
      </c>
      <c r="C160" s="27" t="s">
        <v>779</v>
      </c>
      <c r="D160" s="66" t="s">
        <v>52</v>
      </c>
      <c r="E160" s="68">
        <v>67000</v>
      </c>
      <c r="F160" s="70">
        <f t="shared" si="0"/>
        <v>2</v>
      </c>
      <c r="G160" s="27" t="s">
        <v>779</v>
      </c>
      <c r="H160" s="71" t="s">
        <v>8</v>
      </c>
    </row>
    <row r="161" spans="1:8">
      <c r="A161" s="61" t="s">
        <v>53</v>
      </c>
      <c r="B161" s="63">
        <v>45390</v>
      </c>
      <c r="C161" s="27" t="s">
        <v>779</v>
      </c>
      <c r="D161" s="65" t="s">
        <v>54</v>
      </c>
      <c r="E161" s="67">
        <v>40000</v>
      </c>
      <c r="F161" s="30">
        <f t="shared" si="0"/>
        <v>1.5</v>
      </c>
      <c r="G161" s="27" t="s">
        <v>779</v>
      </c>
      <c r="H161" s="57" t="s">
        <v>8</v>
      </c>
    </row>
    <row r="162" spans="1:8">
      <c r="A162" s="62" t="s">
        <v>55</v>
      </c>
      <c r="B162" s="64">
        <v>45397</v>
      </c>
      <c r="C162" s="27" t="s">
        <v>779</v>
      </c>
      <c r="D162" s="66" t="s">
        <v>56</v>
      </c>
      <c r="E162" s="68">
        <v>60000</v>
      </c>
      <c r="F162" s="70">
        <f t="shared" si="0"/>
        <v>2</v>
      </c>
      <c r="G162" s="27" t="s">
        <v>779</v>
      </c>
      <c r="H162" s="71" t="s">
        <v>8</v>
      </c>
    </row>
    <row r="163" spans="1:8">
      <c r="A163" s="61" t="s">
        <v>57</v>
      </c>
      <c r="B163" s="63">
        <v>45411</v>
      </c>
      <c r="C163" s="27" t="s">
        <v>779</v>
      </c>
      <c r="D163" s="65" t="s">
        <v>58</v>
      </c>
      <c r="E163" s="67">
        <v>120000</v>
      </c>
      <c r="F163" s="30">
        <f t="shared" si="0"/>
        <v>2.5</v>
      </c>
      <c r="G163" s="27" t="s">
        <v>779</v>
      </c>
      <c r="H163" s="57" t="s">
        <v>8</v>
      </c>
    </row>
    <row r="164" spans="1:8">
      <c r="A164" s="62" t="s">
        <v>59</v>
      </c>
      <c r="B164" s="64">
        <v>45448</v>
      </c>
      <c r="C164" s="27" t="s">
        <v>779</v>
      </c>
      <c r="D164" s="66" t="s">
        <v>58</v>
      </c>
      <c r="E164" s="68">
        <v>83000</v>
      </c>
      <c r="F164" s="70">
        <f t="shared" si="0"/>
        <v>2</v>
      </c>
      <c r="G164" s="27" t="s">
        <v>779</v>
      </c>
      <c r="H164" s="71" t="s">
        <v>8</v>
      </c>
    </row>
    <row r="165" spans="1:8">
      <c r="A165" s="61" t="s">
        <v>60</v>
      </c>
      <c r="B165" s="63">
        <v>45508</v>
      </c>
      <c r="C165" s="27" t="s">
        <v>779</v>
      </c>
      <c r="D165" s="65" t="s">
        <v>61</v>
      </c>
      <c r="E165" s="67">
        <v>20000</v>
      </c>
      <c r="F165" s="30">
        <f t="shared" si="0"/>
        <v>1.5</v>
      </c>
      <c r="G165" s="27" t="s">
        <v>779</v>
      </c>
      <c r="H165" s="57" t="s">
        <v>8</v>
      </c>
    </row>
    <row r="166" spans="1:8">
      <c r="A166" s="62" t="s">
        <v>62</v>
      </c>
      <c r="B166" s="64">
        <v>45518</v>
      </c>
      <c r="C166" s="27" t="s">
        <v>779</v>
      </c>
      <c r="D166" s="66" t="s">
        <v>63</v>
      </c>
      <c r="E166" s="68">
        <v>45000</v>
      </c>
      <c r="F166" s="70">
        <f t="shared" si="0"/>
        <v>1.5</v>
      </c>
      <c r="G166" s="27" t="s">
        <v>779</v>
      </c>
      <c r="H166" s="71" t="s">
        <v>8</v>
      </c>
    </row>
    <row r="167" spans="1:8">
      <c r="A167" s="61" t="s">
        <v>64</v>
      </c>
      <c r="B167" s="63">
        <v>45526</v>
      </c>
      <c r="C167" s="27" t="s">
        <v>779</v>
      </c>
      <c r="D167" s="65" t="s">
        <v>65</v>
      </c>
      <c r="E167" s="67">
        <v>100000</v>
      </c>
      <c r="F167" s="30">
        <f t="shared" si="0"/>
        <v>2</v>
      </c>
      <c r="G167" s="27" t="s">
        <v>779</v>
      </c>
      <c r="H167" s="57" t="s">
        <v>8</v>
      </c>
    </row>
    <row r="168" spans="1:8">
      <c r="A168" s="62" t="s">
        <v>66</v>
      </c>
      <c r="B168" s="64">
        <v>45554</v>
      </c>
      <c r="C168" s="27" t="s">
        <v>779</v>
      </c>
      <c r="D168" s="66" t="s">
        <v>67</v>
      </c>
      <c r="E168" s="68">
        <v>31000</v>
      </c>
      <c r="F168" s="70">
        <f t="shared" si="0"/>
        <v>1.5</v>
      </c>
      <c r="G168" s="27" t="s">
        <v>779</v>
      </c>
      <c r="H168" s="71" t="s">
        <v>8</v>
      </c>
    </row>
    <row r="169" spans="1:8">
      <c r="A169" s="61" t="s">
        <v>68</v>
      </c>
      <c r="B169" s="63">
        <v>45563</v>
      </c>
      <c r="C169" s="27" t="s">
        <v>779</v>
      </c>
      <c r="D169" s="65" t="s">
        <v>69</v>
      </c>
      <c r="E169" s="67">
        <v>163275</v>
      </c>
      <c r="F169" s="30">
        <f t="shared" si="0"/>
        <v>2.5</v>
      </c>
      <c r="G169" s="27" t="s">
        <v>779</v>
      </c>
      <c r="H169" s="57" t="s">
        <v>8</v>
      </c>
    </row>
    <row r="170" spans="1:8">
      <c r="A170" s="62" t="s">
        <v>70</v>
      </c>
      <c r="B170" s="64">
        <v>45575</v>
      </c>
      <c r="C170" s="27" t="s">
        <v>779</v>
      </c>
      <c r="D170" s="66" t="s">
        <v>71</v>
      </c>
      <c r="E170" s="68">
        <v>20000</v>
      </c>
      <c r="F170" s="70">
        <f t="shared" si="0"/>
        <v>1.5</v>
      </c>
      <c r="G170" s="27" t="s">
        <v>779</v>
      </c>
      <c r="H170" s="71" t="s">
        <v>8</v>
      </c>
    </row>
    <row r="171" spans="1:8">
      <c r="A171" s="61" t="s">
        <v>72</v>
      </c>
      <c r="B171" s="63">
        <v>45589</v>
      </c>
      <c r="C171" s="27" t="s">
        <v>779</v>
      </c>
      <c r="D171" s="65" t="s">
        <v>73</v>
      </c>
      <c r="E171" s="67">
        <v>40000</v>
      </c>
      <c r="F171" s="30">
        <f t="shared" si="0"/>
        <v>1.5</v>
      </c>
      <c r="G171" s="27" t="s">
        <v>779</v>
      </c>
      <c r="H171" s="57" t="s">
        <v>8</v>
      </c>
    </row>
    <row r="172" spans="1:8">
      <c r="A172" s="62" t="s">
        <v>74</v>
      </c>
      <c r="B172" s="64">
        <v>45612</v>
      </c>
      <c r="C172" s="27" t="s">
        <v>779</v>
      </c>
      <c r="D172" s="66" t="s">
        <v>75</v>
      </c>
      <c r="E172" s="68">
        <v>120000</v>
      </c>
      <c r="F172" s="70">
        <f t="shared" si="0"/>
        <v>2.5</v>
      </c>
      <c r="G172" s="27" t="s">
        <v>779</v>
      </c>
      <c r="H172" s="71" t="s">
        <v>8</v>
      </c>
    </row>
    <row r="173" spans="1:8">
      <c r="A173" s="61" t="s">
        <v>76</v>
      </c>
      <c r="B173" s="63">
        <v>45616</v>
      </c>
      <c r="C173" s="27" t="s">
        <v>779</v>
      </c>
      <c r="D173" s="65" t="s">
        <v>17</v>
      </c>
      <c r="E173" s="67">
        <v>150000</v>
      </c>
      <c r="F173" s="30">
        <f t="shared" si="0"/>
        <v>2.5</v>
      </c>
      <c r="G173" s="27" t="s">
        <v>779</v>
      </c>
      <c r="H173" s="57" t="s">
        <v>8</v>
      </c>
    </row>
    <row r="174" spans="1:8">
      <c r="A174" s="62" t="s">
        <v>77</v>
      </c>
      <c r="B174" s="64">
        <v>45618</v>
      </c>
      <c r="C174" s="27" t="s">
        <v>779</v>
      </c>
      <c r="D174" s="66" t="s">
        <v>78</v>
      </c>
      <c r="E174" s="68">
        <v>20000</v>
      </c>
      <c r="F174" s="70">
        <f t="shared" si="0"/>
        <v>1.5</v>
      </c>
      <c r="G174" s="27" t="s">
        <v>779</v>
      </c>
      <c r="H174" s="71" t="s">
        <v>8</v>
      </c>
    </row>
    <row r="175" spans="1:8">
      <c r="A175" s="61" t="s">
        <v>79</v>
      </c>
      <c r="B175" s="63">
        <v>45617</v>
      </c>
      <c r="C175" s="27" t="s">
        <v>779</v>
      </c>
      <c r="D175" s="65" t="s">
        <v>80</v>
      </c>
      <c r="E175" s="67">
        <v>30000</v>
      </c>
      <c r="F175" s="30">
        <f t="shared" si="0"/>
        <v>1.5</v>
      </c>
      <c r="G175" s="27" t="s">
        <v>779</v>
      </c>
      <c r="H175" s="57" t="s">
        <v>8</v>
      </c>
    </row>
    <row r="176" spans="1:8">
      <c r="A176" s="62" t="s">
        <v>81</v>
      </c>
      <c r="B176" s="64">
        <v>45644</v>
      </c>
      <c r="C176" s="27" t="s">
        <v>779</v>
      </c>
      <c r="D176" s="66" t="s">
        <v>82</v>
      </c>
      <c r="E176" s="68">
        <v>25000</v>
      </c>
      <c r="F176" s="70">
        <f t="shared" si="0"/>
        <v>1.5</v>
      </c>
      <c r="G176" s="27" t="s">
        <v>779</v>
      </c>
      <c r="H176" s="71" t="s">
        <v>8</v>
      </c>
    </row>
    <row r="177" spans="1:8">
      <c r="A177" s="61" t="s">
        <v>83</v>
      </c>
      <c r="B177" s="63">
        <v>45651</v>
      </c>
      <c r="C177" s="27" t="s">
        <v>779</v>
      </c>
      <c r="D177" s="65" t="s">
        <v>84</v>
      </c>
      <c r="E177" s="67">
        <v>20000</v>
      </c>
      <c r="F177" s="30">
        <f t="shared" si="0"/>
        <v>1.5</v>
      </c>
      <c r="G177" s="27" t="s">
        <v>779</v>
      </c>
      <c r="H177" s="57" t="s">
        <v>8</v>
      </c>
    </row>
    <row r="178" spans="1:8">
      <c r="A178" s="62" t="s">
        <v>85</v>
      </c>
      <c r="B178" s="64">
        <v>45666</v>
      </c>
      <c r="C178" s="27" t="s">
        <v>779</v>
      </c>
      <c r="D178" s="66" t="s">
        <v>86</v>
      </c>
      <c r="E178" s="69">
        <v>75000</v>
      </c>
      <c r="F178" s="70">
        <f t="shared" si="0"/>
        <v>2</v>
      </c>
      <c r="G178" s="27" t="s">
        <v>779</v>
      </c>
      <c r="H178" s="71" t="s">
        <v>8</v>
      </c>
    </row>
    <row r="179" spans="1:8">
      <c r="A179" s="61" t="s">
        <v>87</v>
      </c>
      <c r="B179" s="63">
        <v>45667</v>
      </c>
      <c r="C179" s="27" t="s">
        <v>779</v>
      </c>
      <c r="D179" s="65" t="s">
        <v>88</v>
      </c>
      <c r="E179" s="67">
        <v>51100</v>
      </c>
      <c r="F179" s="30">
        <f t="shared" si="0"/>
        <v>2</v>
      </c>
      <c r="G179" s="27" t="s">
        <v>779</v>
      </c>
      <c r="H179" s="57" t="s">
        <v>8</v>
      </c>
    </row>
    <row r="180" spans="1:8">
      <c r="A180" s="62" t="s">
        <v>89</v>
      </c>
      <c r="B180" s="64">
        <v>45679</v>
      </c>
      <c r="C180" s="27" t="s">
        <v>779</v>
      </c>
      <c r="D180" s="66" t="s">
        <v>90</v>
      </c>
      <c r="E180" s="68">
        <v>20000</v>
      </c>
      <c r="F180" s="70">
        <f t="shared" si="0"/>
        <v>1.5</v>
      </c>
      <c r="G180" s="27" t="s">
        <v>779</v>
      </c>
      <c r="H180" s="71" t="s">
        <v>8</v>
      </c>
    </row>
    <row r="181" spans="1:8">
      <c r="A181" s="61" t="s">
        <v>91</v>
      </c>
      <c r="B181" s="63">
        <v>45680</v>
      </c>
      <c r="C181" s="27" t="s">
        <v>779</v>
      </c>
      <c r="D181" s="65" t="s">
        <v>82</v>
      </c>
      <c r="E181" s="67">
        <v>100000</v>
      </c>
      <c r="F181" s="30">
        <f t="shared" si="0"/>
        <v>2</v>
      </c>
      <c r="G181" s="27" t="s">
        <v>779</v>
      </c>
      <c r="H181" s="57" t="s">
        <v>8</v>
      </c>
    </row>
    <row r="182" spans="1:8">
      <c r="A182" s="62" t="s">
        <v>92</v>
      </c>
      <c r="B182" s="64">
        <v>45680</v>
      </c>
      <c r="C182" s="27" t="s">
        <v>779</v>
      </c>
      <c r="D182" s="66" t="s">
        <v>93</v>
      </c>
      <c r="E182" s="68">
        <v>45000</v>
      </c>
      <c r="F182" s="70">
        <f t="shared" si="0"/>
        <v>1.5</v>
      </c>
      <c r="G182" s="27" t="s">
        <v>779</v>
      </c>
      <c r="H182" s="71" t="s">
        <v>8</v>
      </c>
    </row>
    <row r="183" spans="1:8">
      <c r="A183" s="61" t="s">
        <v>94</v>
      </c>
      <c r="B183" s="63">
        <v>45704</v>
      </c>
      <c r="C183" s="27" t="s">
        <v>779</v>
      </c>
      <c r="D183" s="65" t="s">
        <v>95</v>
      </c>
      <c r="E183" s="67">
        <v>60000</v>
      </c>
      <c r="F183" s="30">
        <f t="shared" si="0"/>
        <v>2</v>
      </c>
      <c r="G183" s="27" t="s">
        <v>779</v>
      </c>
      <c r="H183" s="57" t="s">
        <v>8</v>
      </c>
    </row>
    <row r="184" spans="1:8">
      <c r="A184" s="62" t="s">
        <v>96</v>
      </c>
      <c r="B184" s="64">
        <v>45705</v>
      </c>
      <c r="C184" s="27" t="s">
        <v>779</v>
      </c>
      <c r="D184" s="66" t="s">
        <v>97</v>
      </c>
      <c r="E184" s="68">
        <v>90000</v>
      </c>
      <c r="F184" s="70">
        <f t="shared" si="0"/>
        <v>2</v>
      </c>
      <c r="G184" s="27" t="s">
        <v>779</v>
      </c>
      <c r="H184" s="71" t="s">
        <v>8</v>
      </c>
    </row>
    <row r="185" spans="1:8">
      <c r="A185" s="61" t="s">
        <v>98</v>
      </c>
      <c r="B185" s="63">
        <v>45706</v>
      </c>
      <c r="C185" s="27" t="s">
        <v>779</v>
      </c>
      <c r="D185" s="65" t="s">
        <v>58</v>
      </c>
      <c r="E185" s="67">
        <v>140000</v>
      </c>
      <c r="F185" s="30">
        <f t="shared" si="0"/>
        <v>2.5</v>
      </c>
      <c r="G185" s="27" t="s">
        <v>779</v>
      </c>
      <c r="H185" s="57" t="s">
        <v>8</v>
      </c>
    </row>
    <row r="186" spans="1:8">
      <c r="A186" s="62" t="s">
        <v>99</v>
      </c>
      <c r="B186" s="64">
        <v>45707</v>
      </c>
      <c r="C186" s="27" t="s">
        <v>779</v>
      </c>
      <c r="D186" s="66" t="s">
        <v>17</v>
      </c>
      <c r="E186" s="68">
        <v>70000</v>
      </c>
      <c r="F186" s="70">
        <f t="shared" si="0"/>
        <v>2</v>
      </c>
      <c r="G186" s="27" t="s">
        <v>779</v>
      </c>
      <c r="H186" s="71" t="s">
        <v>8</v>
      </c>
    </row>
    <row r="187" spans="1:8">
      <c r="A187" s="61" t="s">
        <v>100</v>
      </c>
      <c r="B187" s="63">
        <v>45712</v>
      </c>
      <c r="C187" s="27" t="s">
        <v>779</v>
      </c>
      <c r="D187" s="65" t="s">
        <v>101</v>
      </c>
      <c r="E187" s="67">
        <v>30000</v>
      </c>
      <c r="F187" s="30">
        <f t="shared" si="0"/>
        <v>1.5</v>
      </c>
      <c r="G187" s="27" t="s">
        <v>779</v>
      </c>
      <c r="H187" s="57" t="s">
        <v>8</v>
      </c>
    </row>
    <row r="188" spans="1:8">
      <c r="A188" s="62" t="s">
        <v>102</v>
      </c>
      <c r="B188" s="64">
        <v>45716</v>
      </c>
      <c r="C188" s="27" t="s">
        <v>779</v>
      </c>
      <c r="D188" s="66" t="s">
        <v>103</v>
      </c>
      <c r="E188" s="68">
        <v>40000</v>
      </c>
      <c r="F188" s="70">
        <f t="shared" si="0"/>
        <v>1.5</v>
      </c>
      <c r="G188" s="27" t="s">
        <v>779</v>
      </c>
      <c r="H188" s="71" t="s">
        <v>8</v>
      </c>
    </row>
    <row r="189" spans="1:8">
      <c r="A189" s="61" t="s">
        <v>104</v>
      </c>
      <c r="B189" s="63">
        <v>45736</v>
      </c>
      <c r="C189" s="27" t="s">
        <v>779</v>
      </c>
      <c r="D189" s="65" t="s">
        <v>105</v>
      </c>
      <c r="E189" s="67">
        <v>50000</v>
      </c>
      <c r="F189" s="30">
        <f t="shared" si="0"/>
        <v>1.5</v>
      </c>
      <c r="G189" s="27" t="s">
        <v>779</v>
      </c>
      <c r="H189" s="57" t="s">
        <v>8</v>
      </c>
    </row>
    <row r="190" spans="1:8">
      <c r="A190" s="62" t="s">
        <v>106</v>
      </c>
      <c r="B190" s="64">
        <v>45737</v>
      </c>
      <c r="C190" s="27" t="s">
        <v>779</v>
      </c>
      <c r="D190" s="66" t="s">
        <v>107</v>
      </c>
      <c r="E190" s="68">
        <v>104000</v>
      </c>
      <c r="F190" s="70">
        <f t="shared" si="0"/>
        <v>2.5</v>
      </c>
      <c r="G190" s="27" t="s">
        <v>779</v>
      </c>
      <c r="H190" s="71" t="s">
        <v>8</v>
      </c>
    </row>
    <row r="191" spans="1:8">
      <c r="A191" s="61" t="s">
        <v>108</v>
      </c>
      <c r="B191" s="63">
        <v>45738</v>
      </c>
      <c r="C191" s="27" t="s">
        <v>779</v>
      </c>
      <c r="D191" s="65" t="s">
        <v>109</v>
      </c>
      <c r="E191" s="67">
        <v>20000</v>
      </c>
      <c r="F191" s="30">
        <f t="shared" si="0"/>
        <v>1.5</v>
      </c>
      <c r="G191" s="27" t="s">
        <v>779</v>
      </c>
      <c r="H191" s="57" t="s">
        <v>8</v>
      </c>
    </row>
    <row r="192" spans="1:8">
      <c r="A192" s="62" t="s">
        <v>110</v>
      </c>
      <c r="B192" s="64">
        <v>45759</v>
      </c>
      <c r="C192" s="27" t="s">
        <v>779</v>
      </c>
      <c r="D192" s="66" t="s">
        <v>111</v>
      </c>
      <c r="E192" s="68">
        <v>122000</v>
      </c>
      <c r="F192" s="70">
        <f t="shared" si="0"/>
        <v>2.5</v>
      </c>
      <c r="G192" s="27" t="s">
        <v>779</v>
      </c>
      <c r="H192" s="71" t="s">
        <v>8</v>
      </c>
    </row>
    <row r="193" spans="1:8">
      <c r="A193" s="61" t="s">
        <v>112</v>
      </c>
      <c r="B193" s="63">
        <v>45722</v>
      </c>
      <c r="C193" s="27" t="s">
        <v>779</v>
      </c>
      <c r="D193" s="65" t="s">
        <v>113</v>
      </c>
      <c r="E193" s="67">
        <v>80000</v>
      </c>
      <c r="F193" s="30">
        <f t="shared" si="0"/>
        <v>2</v>
      </c>
      <c r="G193" s="27" t="s">
        <v>779</v>
      </c>
      <c r="H193" s="57" t="s">
        <v>8</v>
      </c>
    </row>
    <row r="194" spans="1:8">
      <c r="A194" s="62" t="s">
        <v>114</v>
      </c>
      <c r="B194" s="64">
        <v>45789</v>
      </c>
      <c r="C194" s="27" t="s">
        <v>779</v>
      </c>
      <c r="D194" s="66" t="s">
        <v>115</v>
      </c>
      <c r="E194" s="68">
        <v>50000</v>
      </c>
      <c r="F194" s="70">
        <f t="shared" si="0"/>
        <v>1.5</v>
      </c>
      <c r="G194" s="27" t="s">
        <v>779</v>
      </c>
      <c r="H194" s="71" t="s">
        <v>8</v>
      </c>
    </row>
    <row r="195" spans="1:8">
      <c r="A195" s="61" t="s">
        <v>116</v>
      </c>
      <c r="B195" s="63">
        <v>45797</v>
      </c>
      <c r="C195" s="27" t="s">
        <v>779</v>
      </c>
      <c r="D195" s="65" t="s">
        <v>117</v>
      </c>
      <c r="E195" s="67">
        <v>225000</v>
      </c>
      <c r="F195" s="30">
        <f t="shared" si="0"/>
        <v>2.5</v>
      </c>
      <c r="G195" s="27" t="s">
        <v>779</v>
      </c>
      <c r="H195" s="57" t="s">
        <v>8</v>
      </c>
    </row>
    <row r="196" spans="1:8">
      <c r="A196" s="62" t="s">
        <v>118</v>
      </c>
      <c r="B196" s="64">
        <v>45798</v>
      </c>
      <c r="C196" s="27" t="s">
        <v>779</v>
      </c>
      <c r="D196" s="66" t="s">
        <v>119</v>
      </c>
      <c r="E196" s="68">
        <v>20000</v>
      </c>
      <c r="F196" s="70">
        <f t="shared" si="0"/>
        <v>1.5</v>
      </c>
      <c r="G196" s="27" t="s">
        <v>779</v>
      </c>
      <c r="H196" s="71" t="s">
        <v>8</v>
      </c>
    </row>
    <row r="197" spans="1:8">
      <c r="A197" s="61" t="s">
        <v>120</v>
      </c>
      <c r="B197" s="63">
        <v>45806</v>
      </c>
      <c r="C197" s="27" t="s">
        <v>779</v>
      </c>
      <c r="D197" s="65" t="s">
        <v>121</v>
      </c>
      <c r="E197" s="67">
        <v>35000</v>
      </c>
      <c r="F197" s="30">
        <f t="shared" si="0"/>
        <v>1.5</v>
      </c>
      <c r="G197" s="27" t="s">
        <v>779</v>
      </c>
      <c r="H197" s="57" t="s">
        <v>8</v>
      </c>
    </row>
    <row r="198" spans="1:8">
      <c r="A198" s="62" t="s">
        <v>122</v>
      </c>
      <c r="B198" s="64">
        <v>45807</v>
      </c>
      <c r="C198" s="27" t="s">
        <v>779</v>
      </c>
      <c r="D198" s="66" t="s">
        <v>123</v>
      </c>
      <c r="E198" s="68">
        <v>30000</v>
      </c>
      <c r="F198" s="70">
        <f t="shared" si="0"/>
        <v>1.5</v>
      </c>
      <c r="G198" s="27" t="s">
        <v>779</v>
      </c>
      <c r="H198" s="71" t="s">
        <v>8</v>
      </c>
    </row>
    <row r="199" spans="1:8">
      <c r="A199" s="61" t="s">
        <v>124</v>
      </c>
      <c r="B199" s="63">
        <v>45815</v>
      </c>
      <c r="C199" s="27" t="s">
        <v>779</v>
      </c>
      <c r="D199" s="65" t="s">
        <v>125</v>
      </c>
      <c r="E199" s="67">
        <v>60000</v>
      </c>
      <c r="F199" s="30">
        <f t="shared" si="0"/>
        <v>2</v>
      </c>
      <c r="G199" s="27" t="s">
        <v>779</v>
      </c>
      <c r="H199" s="57" t="s">
        <v>8</v>
      </c>
    </row>
    <row r="200" spans="1:8">
      <c r="A200" s="62" t="s">
        <v>126</v>
      </c>
      <c r="B200" s="64">
        <v>45817</v>
      </c>
      <c r="C200" s="27" t="s">
        <v>779</v>
      </c>
      <c r="D200" s="66" t="s">
        <v>127</v>
      </c>
      <c r="E200" s="68">
        <v>60000</v>
      </c>
      <c r="F200" s="70">
        <f t="shared" si="0"/>
        <v>2</v>
      </c>
      <c r="G200" s="27" t="s">
        <v>779</v>
      </c>
      <c r="H200" s="71" t="s">
        <v>8</v>
      </c>
    </row>
    <row r="201" spans="1:8">
      <c r="A201" s="61" t="s">
        <v>128</v>
      </c>
      <c r="B201" s="63">
        <v>45825</v>
      </c>
      <c r="C201" s="27" t="s">
        <v>779</v>
      </c>
      <c r="D201" s="65" t="s">
        <v>129</v>
      </c>
      <c r="E201" s="67">
        <v>30000</v>
      </c>
      <c r="F201" s="30">
        <f t="shared" si="0"/>
        <v>1.5</v>
      </c>
      <c r="G201" s="27" t="s">
        <v>779</v>
      </c>
      <c r="H201" s="57" t="s">
        <v>8</v>
      </c>
    </row>
    <row r="202" spans="1:8">
      <c r="A202" s="62" t="s">
        <v>130</v>
      </c>
      <c r="B202" s="64">
        <v>45823</v>
      </c>
      <c r="C202" s="27" t="s">
        <v>779</v>
      </c>
      <c r="D202" s="66" t="s">
        <v>131</v>
      </c>
      <c r="E202" s="68">
        <v>60000</v>
      </c>
      <c r="F202" s="70">
        <f t="shared" ref="F202:F265" si="1">IF(E202&lt;=50000,1.5,IF(E202&lt;=100000,2,2.5))</f>
        <v>2</v>
      </c>
      <c r="G202" s="27" t="s">
        <v>779</v>
      </c>
      <c r="H202" s="71" t="s">
        <v>8</v>
      </c>
    </row>
    <row r="203" spans="1:8">
      <c r="A203" s="61" t="s">
        <v>132</v>
      </c>
      <c r="B203" s="63">
        <v>45828</v>
      </c>
      <c r="C203" s="27" t="s">
        <v>779</v>
      </c>
      <c r="D203" s="65" t="s">
        <v>133</v>
      </c>
      <c r="E203" s="67">
        <v>30000</v>
      </c>
      <c r="F203" s="30">
        <f t="shared" si="1"/>
        <v>1.5</v>
      </c>
      <c r="G203" s="27" t="s">
        <v>779</v>
      </c>
      <c r="H203" s="57" t="s">
        <v>8</v>
      </c>
    </row>
    <row r="204" spans="1:8">
      <c r="A204" s="62" t="s">
        <v>134</v>
      </c>
      <c r="B204" s="64">
        <v>45828</v>
      </c>
      <c r="C204" s="27" t="s">
        <v>779</v>
      </c>
      <c r="D204" s="66" t="s">
        <v>135</v>
      </c>
      <c r="E204" s="68">
        <v>40000</v>
      </c>
      <c r="F204" s="70">
        <f t="shared" si="1"/>
        <v>1.5</v>
      </c>
      <c r="G204" s="27" t="s">
        <v>779</v>
      </c>
      <c r="H204" s="71" t="s">
        <v>8</v>
      </c>
    </row>
    <row r="205" spans="1:8">
      <c r="A205" s="61" t="s">
        <v>136</v>
      </c>
      <c r="B205" s="63">
        <v>45828</v>
      </c>
      <c r="C205" s="27" t="s">
        <v>779</v>
      </c>
      <c r="D205" s="65" t="s">
        <v>137</v>
      </c>
      <c r="E205" s="67">
        <v>105000</v>
      </c>
      <c r="F205" s="30">
        <f t="shared" si="1"/>
        <v>2.5</v>
      </c>
      <c r="G205" s="27" t="s">
        <v>779</v>
      </c>
      <c r="H205" s="57" t="s">
        <v>8</v>
      </c>
    </row>
    <row r="206" spans="1:8">
      <c r="A206" s="62" t="s">
        <v>138</v>
      </c>
      <c r="B206" s="64">
        <v>45832</v>
      </c>
      <c r="C206" s="27" t="s">
        <v>779</v>
      </c>
      <c r="D206" s="66" t="s">
        <v>139</v>
      </c>
      <c r="E206" s="68">
        <v>100000</v>
      </c>
      <c r="F206" s="70">
        <f t="shared" si="1"/>
        <v>2</v>
      </c>
      <c r="G206" s="27" t="s">
        <v>779</v>
      </c>
      <c r="H206" s="71" t="s">
        <v>8</v>
      </c>
    </row>
    <row r="207" spans="1:8">
      <c r="A207" s="61" t="s">
        <v>140</v>
      </c>
      <c r="B207" s="63">
        <v>45848</v>
      </c>
      <c r="C207" s="27" t="s">
        <v>779</v>
      </c>
      <c r="D207" s="65" t="s">
        <v>141</v>
      </c>
      <c r="E207" s="67">
        <v>70000</v>
      </c>
      <c r="F207" s="30">
        <f t="shared" si="1"/>
        <v>2</v>
      </c>
      <c r="G207" s="27" t="s">
        <v>779</v>
      </c>
      <c r="H207" s="57" t="s">
        <v>8</v>
      </c>
    </row>
    <row r="208" spans="1:8">
      <c r="A208" s="62" t="s">
        <v>142</v>
      </c>
      <c r="B208" s="64">
        <v>45857</v>
      </c>
      <c r="C208" s="27" t="s">
        <v>779</v>
      </c>
      <c r="D208" s="66" t="s">
        <v>143</v>
      </c>
      <c r="E208" s="68">
        <v>200000</v>
      </c>
      <c r="F208" s="70">
        <f t="shared" si="1"/>
        <v>2.5</v>
      </c>
      <c r="G208" s="27" t="s">
        <v>779</v>
      </c>
      <c r="H208" s="71" t="s">
        <v>8</v>
      </c>
    </row>
    <row r="209" spans="1:8">
      <c r="A209" s="61" t="s">
        <v>144</v>
      </c>
      <c r="B209" s="63">
        <v>45876</v>
      </c>
      <c r="C209" s="27" t="s">
        <v>779</v>
      </c>
      <c r="D209" s="65" t="s">
        <v>145</v>
      </c>
      <c r="E209" s="67">
        <v>115000</v>
      </c>
      <c r="F209" s="30">
        <f t="shared" si="1"/>
        <v>2.5</v>
      </c>
      <c r="G209" s="27" t="s">
        <v>779</v>
      </c>
      <c r="H209" s="57" t="s">
        <v>8</v>
      </c>
    </row>
    <row r="210" spans="1:8">
      <c r="A210" s="62" t="s">
        <v>146</v>
      </c>
      <c r="B210" s="64">
        <v>45880</v>
      </c>
      <c r="C210" s="27" t="s">
        <v>779</v>
      </c>
      <c r="D210" s="66" t="s">
        <v>147</v>
      </c>
      <c r="E210" s="68">
        <v>100000</v>
      </c>
      <c r="F210" s="70">
        <f t="shared" si="1"/>
        <v>2</v>
      </c>
      <c r="G210" s="27" t="s">
        <v>779</v>
      </c>
      <c r="H210" s="71" t="s">
        <v>8</v>
      </c>
    </row>
    <row r="211" spans="1:8">
      <c r="A211" s="61" t="s">
        <v>148</v>
      </c>
      <c r="B211" s="63">
        <v>45880</v>
      </c>
      <c r="C211" s="27" t="s">
        <v>779</v>
      </c>
      <c r="D211" s="65" t="s">
        <v>149</v>
      </c>
      <c r="E211" s="67">
        <v>150000</v>
      </c>
      <c r="F211" s="30">
        <f t="shared" si="1"/>
        <v>2.5</v>
      </c>
      <c r="G211" s="27" t="s">
        <v>779</v>
      </c>
      <c r="H211" s="57" t="s">
        <v>8</v>
      </c>
    </row>
    <row r="212" spans="1:8">
      <c r="A212" s="62" t="s">
        <v>150</v>
      </c>
      <c r="B212" s="64">
        <v>45887</v>
      </c>
      <c r="C212" s="27" t="s">
        <v>779</v>
      </c>
      <c r="D212" s="66" t="s">
        <v>151</v>
      </c>
      <c r="E212" s="68">
        <v>100000</v>
      </c>
      <c r="F212" s="70">
        <f t="shared" si="1"/>
        <v>2</v>
      </c>
      <c r="G212" s="27" t="s">
        <v>779</v>
      </c>
      <c r="H212" s="71" t="s">
        <v>8</v>
      </c>
    </row>
    <row r="213" spans="1:8">
      <c r="A213" s="61" t="s">
        <v>152</v>
      </c>
      <c r="B213" s="63">
        <v>45890</v>
      </c>
      <c r="C213" s="27" t="s">
        <v>779</v>
      </c>
      <c r="D213" s="65" t="s">
        <v>153</v>
      </c>
      <c r="E213" s="67">
        <v>25000</v>
      </c>
      <c r="F213" s="30">
        <f t="shared" si="1"/>
        <v>1.5</v>
      </c>
      <c r="G213" s="27" t="s">
        <v>779</v>
      </c>
      <c r="H213" s="57" t="s">
        <v>8</v>
      </c>
    </row>
    <row r="214" spans="1:8">
      <c r="A214" s="62" t="s">
        <v>154</v>
      </c>
      <c r="B214" s="64">
        <v>45890</v>
      </c>
      <c r="C214" s="27" t="s">
        <v>779</v>
      </c>
      <c r="D214" s="66" t="s">
        <v>155</v>
      </c>
      <c r="E214" s="68">
        <v>20000</v>
      </c>
      <c r="F214" s="70">
        <f t="shared" si="1"/>
        <v>1.5</v>
      </c>
      <c r="G214" s="27" t="s">
        <v>779</v>
      </c>
      <c r="H214" s="71" t="s">
        <v>8</v>
      </c>
    </row>
    <row r="215" spans="1:8">
      <c r="A215" s="61" t="s">
        <v>156</v>
      </c>
      <c r="B215" s="63">
        <v>45890</v>
      </c>
      <c r="C215" s="27" t="s">
        <v>779</v>
      </c>
      <c r="D215" s="65" t="s">
        <v>153</v>
      </c>
      <c r="E215" s="67">
        <v>25000</v>
      </c>
      <c r="F215" s="30">
        <f t="shared" si="1"/>
        <v>1.5</v>
      </c>
      <c r="G215" s="27" t="s">
        <v>779</v>
      </c>
      <c r="H215" s="57" t="s">
        <v>8</v>
      </c>
    </row>
    <row r="216" spans="1:8">
      <c r="A216" s="62" t="s">
        <v>157</v>
      </c>
      <c r="B216" s="64">
        <v>45892</v>
      </c>
      <c r="C216" s="27" t="s">
        <v>779</v>
      </c>
      <c r="D216" s="66" t="s">
        <v>158</v>
      </c>
      <c r="E216" s="68">
        <v>30000</v>
      </c>
      <c r="F216" s="70">
        <f t="shared" si="1"/>
        <v>1.5</v>
      </c>
      <c r="G216" s="27" t="s">
        <v>779</v>
      </c>
      <c r="H216" s="71" t="s">
        <v>8</v>
      </c>
    </row>
    <row r="217" spans="1:8">
      <c r="A217" s="61" t="s">
        <v>159</v>
      </c>
      <c r="B217" s="63">
        <v>45894</v>
      </c>
      <c r="C217" s="27" t="s">
        <v>779</v>
      </c>
      <c r="D217" s="65" t="s">
        <v>160</v>
      </c>
      <c r="E217" s="67">
        <v>130000</v>
      </c>
      <c r="F217" s="30">
        <f t="shared" si="1"/>
        <v>2.5</v>
      </c>
      <c r="G217" s="27" t="s">
        <v>779</v>
      </c>
      <c r="H217" s="57" t="s">
        <v>8</v>
      </c>
    </row>
    <row r="218" spans="1:8">
      <c r="A218" s="62" t="s">
        <v>161</v>
      </c>
      <c r="B218" s="64">
        <v>45899</v>
      </c>
      <c r="C218" s="27" t="s">
        <v>779</v>
      </c>
      <c r="D218" s="66" t="s">
        <v>162</v>
      </c>
      <c r="E218" s="68">
        <v>50000</v>
      </c>
      <c r="F218" s="70">
        <f t="shared" si="1"/>
        <v>1.5</v>
      </c>
      <c r="G218" s="27" t="s">
        <v>779</v>
      </c>
      <c r="H218" s="71" t="s">
        <v>8</v>
      </c>
    </row>
    <row r="219" spans="1:8">
      <c r="A219" s="61" t="s">
        <v>163</v>
      </c>
      <c r="B219" s="63">
        <v>45889</v>
      </c>
      <c r="C219" s="27" t="s">
        <v>779</v>
      </c>
      <c r="D219" s="65" t="s">
        <v>164</v>
      </c>
      <c r="E219" s="67">
        <v>20000</v>
      </c>
      <c r="F219" s="30">
        <f t="shared" si="1"/>
        <v>1.5</v>
      </c>
      <c r="G219" s="27" t="s">
        <v>779</v>
      </c>
      <c r="H219" s="57" t="s">
        <v>8</v>
      </c>
    </row>
    <row r="220" spans="1:8">
      <c r="A220" s="62" t="s">
        <v>165</v>
      </c>
      <c r="B220" s="64">
        <v>45902</v>
      </c>
      <c r="C220" s="27" t="s">
        <v>779</v>
      </c>
      <c r="D220" s="66" t="s">
        <v>166</v>
      </c>
      <c r="E220" s="68">
        <v>20000</v>
      </c>
      <c r="F220" s="70">
        <f t="shared" si="1"/>
        <v>1.5</v>
      </c>
      <c r="G220" s="27" t="s">
        <v>779</v>
      </c>
      <c r="H220" s="71" t="s">
        <v>8</v>
      </c>
    </row>
    <row r="221" spans="1:8">
      <c r="A221" s="61" t="s">
        <v>167</v>
      </c>
      <c r="B221" s="63">
        <v>45902</v>
      </c>
      <c r="C221" s="27" t="s">
        <v>779</v>
      </c>
      <c r="D221" s="65" t="s">
        <v>168</v>
      </c>
      <c r="E221" s="67">
        <v>50000</v>
      </c>
      <c r="F221" s="30">
        <f t="shared" si="1"/>
        <v>1.5</v>
      </c>
      <c r="G221" s="27" t="s">
        <v>779</v>
      </c>
      <c r="H221" s="57" t="s">
        <v>8</v>
      </c>
    </row>
    <row r="222" spans="1:8">
      <c r="A222" s="62" t="s">
        <v>169</v>
      </c>
      <c r="B222" s="64">
        <v>45911</v>
      </c>
      <c r="C222" s="27" t="s">
        <v>779</v>
      </c>
      <c r="D222" s="66" t="s">
        <v>170</v>
      </c>
      <c r="E222" s="68">
        <v>84000</v>
      </c>
      <c r="F222" s="70">
        <f t="shared" si="1"/>
        <v>2</v>
      </c>
      <c r="G222" s="27" t="s">
        <v>779</v>
      </c>
      <c r="H222" s="71" t="s">
        <v>8</v>
      </c>
    </row>
    <row r="223" spans="1:8">
      <c r="A223" s="61" t="s">
        <v>171</v>
      </c>
      <c r="B223" s="63">
        <v>45912</v>
      </c>
      <c r="C223" s="27" t="s">
        <v>779</v>
      </c>
      <c r="D223" s="65" t="s">
        <v>172</v>
      </c>
      <c r="E223" s="67">
        <v>35000</v>
      </c>
      <c r="F223" s="30">
        <f t="shared" si="1"/>
        <v>1.5</v>
      </c>
      <c r="G223" s="27" t="s">
        <v>779</v>
      </c>
      <c r="H223" s="57" t="s">
        <v>8</v>
      </c>
    </row>
    <row r="224" spans="1:8">
      <c r="A224" s="62" t="s">
        <v>173</v>
      </c>
      <c r="B224" s="64">
        <v>45912</v>
      </c>
      <c r="C224" s="27" t="s">
        <v>779</v>
      </c>
      <c r="D224" s="66" t="s">
        <v>174</v>
      </c>
      <c r="E224" s="68">
        <v>60000</v>
      </c>
      <c r="F224" s="70">
        <f t="shared" si="1"/>
        <v>2</v>
      </c>
      <c r="G224" s="27" t="s">
        <v>779</v>
      </c>
      <c r="H224" s="71" t="s">
        <v>8</v>
      </c>
    </row>
    <row r="225" spans="1:8">
      <c r="A225" s="61" t="s">
        <v>175</v>
      </c>
      <c r="B225" s="63">
        <v>45915</v>
      </c>
      <c r="C225" s="27" t="s">
        <v>779</v>
      </c>
      <c r="D225" s="65" t="s">
        <v>176</v>
      </c>
      <c r="E225" s="67">
        <v>30000</v>
      </c>
      <c r="F225" s="30">
        <f t="shared" si="1"/>
        <v>1.5</v>
      </c>
      <c r="G225" s="27" t="s">
        <v>779</v>
      </c>
      <c r="H225" s="57" t="s">
        <v>8</v>
      </c>
    </row>
    <row r="226" spans="1:8">
      <c r="A226" s="62" t="s">
        <v>177</v>
      </c>
      <c r="B226" s="64">
        <v>45920</v>
      </c>
      <c r="C226" s="27" t="s">
        <v>779</v>
      </c>
      <c r="D226" s="66" t="s">
        <v>178</v>
      </c>
      <c r="E226" s="68">
        <v>30000</v>
      </c>
      <c r="F226" s="70">
        <f t="shared" si="1"/>
        <v>1.5</v>
      </c>
      <c r="G226" s="27" t="s">
        <v>779</v>
      </c>
      <c r="H226" s="71" t="s">
        <v>8</v>
      </c>
    </row>
    <row r="227" spans="1:8">
      <c r="A227" s="61" t="s">
        <v>179</v>
      </c>
      <c r="B227" s="63">
        <v>45915</v>
      </c>
      <c r="C227" s="27" t="s">
        <v>779</v>
      </c>
      <c r="D227" s="65" t="s">
        <v>180</v>
      </c>
      <c r="E227" s="67">
        <v>156000</v>
      </c>
      <c r="F227" s="30">
        <f t="shared" si="1"/>
        <v>2.5</v>
      </c>
      <c r="G227" s="27" t="s">
        <v>779</v>
      </c>
      <c r="H227" s="57" t="s">
        <v>8</v>
      </c>
    </row>
    <row r="228" spans="1:8">
      <c r="A228" s="62" t="s">
        <v>181</v>
      </c>
      <c r="B228" s="64">
        <v>45920</v>
      </c>
      <c r="C228" s="27" t="s">
        <v>779</v>
      </c>
      <c r="D228" s="66" t="s">
        <v>182</v>
      </c>
      <c r="E228" s="68">
        <v>120000</v>
      </c>
      <c r="F228" s="70">
        <f t="shared" si="1"/>
        <v>2.5</v>
      </c>
      <c r="G228" s="27" t="s">
        <v>779</v>
      </c>
      <c r="H228" s="71" t="s">
        <v>8</v>
      </c>
    </row>
    <row r="229" spans="1:8">
      <c r="A229" s="61" t="s">
        <v>183</v>
      </c>
      <c r="B229" s="63">
        <v>45920</v>
      </c>
      <c r="C229" s="27" t="s">
        <v>779</v>
      </c>
      <c r="D229" s="65" t="s">
        <v>184</v>
      </c>
      <c r="E229" s="67">
        <v>250000</v>
      </c>
      <c r="F229" s="30">
        <f t="shared" si="1"/>
        <v>2.5</v>
      </c>
      <c r="G229" s="27" t="s">
        <v>779</v>
      </c>
      <c r="H229" s="57" t="s">
        <v>8</v>
      </c>
    </row>
    <row r="230" spans="1:8">
      <c r="A230" s="62" t="s">
        <v>185</v>
      </c>
      <c r="B230" s="64">
        <v>45925</v>
      </c>
      <c r="C230" s="27" t="s">
        <v>779</v>
      </c>
      <c r="D230" s="66" t="s">
        <v>186</v>
      </c>
      <c r="E230" s="68">
        <v>23400</v>
      </c>
      <c r="F230" s="70">
        <f t="shared" si="1"/>
        <v>1.5</v>
      </c>
      <c r="G230" s="27" t="s">
        <v>779</v>
      </c>
      <c r="H230" s="71" t="s">
        <v>8</v>
      </c>
    </row>
    <row r="231" spans="1:8">
      <c r="A231" s="61" t="s">
        <v>187</v>
      </c>
      <c r="B231" s="63">
        <v>45931</v>
      </c>
      <c r="C231" s="27" t="s">
        <v>779</v>
      </c>
      <c r="D231" s="65" t="s">
        <v>188</v>
      </c>
      <c r="E231" s="67">
        <v>130000</v>
      </c>
      <c r="F231" s="30">
        <f t="shared" si="1"/>
        <v>2.5</v>
      </c>
      <c r="G231" s="27" t="s">
        <v>779</v>
      </c>
      <c r="H231" s="57" t="s">
        <v>8</v>
      </c>
    </row>
    <row r="232" spans="1:8">
      <c r="A232" s="62" t="s">
        <v>189</v>
      </c>
      <c r="B232" s="64">
        <v>45936</v>
      </c>
      <c r="C232" s="27" t="s">
        <v>779</v>
      </c>
      <c r="D232" s="66" t="s">
        <v>190</v>
      </c>
      <c r="E232" s="68">
        <v>25000</v>
      </c>
      <c r="F232" s="70">
        <f t="shared" si="1"/>
        <v>1.5</v>
      </c>
      <c r="G232" s="27" t="s">
        <v>779</v>
      </c>
      <c r="H232" s="71" t="s">
        <v>8</v>
      </c>
    </row>
    <row r="233" spans="1:8">
      <c r="A233" s="61" t="s">
        <v>191</v>
      </c>
      <c r="B233" s="63">
        <v>45936</v>
      </c>
      <c r="C233" s="27" t="s">
        <v>779</v>
      </c>
      <c r="D233" s="65" t="s">
        <v>192</v>
      </c>
      <c r="E233" s="67">
        <v>30000</v>
      </c>
      <c r="F233" s="30">
        <f t="shared" si="1"/>
        <v>1.5</v>
      </c>
      <c r="G233" s="27" t="s">
        <v>779</v>
      </c>
      <c r="H233" s="57" t="s">
        <v>8</v>
      </c>
    </row>
    <row r="234" spans="1:8">
      <c r="A234" s="62" t="s">
        <v>193</v>
      </c>
      <c r="B234" s="64">
        <v>45936</v>
      </c>
      <c r="C234" s="27" t="s">
        <v>779</v>
      </c>
      <c r="D234" s="66" t="s">
        <v>194</v>
      </c>
      <c r="E234" s="68">
        <v>109000</v>
      </c>
      <c r="F234" s="70">
        <f t="shared" si="1"/>
        <v>2.5</v>
      </c>
      <c r="G234" s="27" t="s">
        <v>779</v>
      </c>
      <c r="H234" s="71" t="s">
        <v>8</v>
      </c>
    </row>
    <row r="235" spans="1:8">
      <c r="A235" s="61" t="s">
        <v>195</v>
      </c>
      <c r="B235" s="63">
        <v>45937</v>
      </c>
      <c r="C235" s="27" t="s">
        <v>779</v>
      </c>
      <c r="D235" s="65" t="s">
        <v>196</v>
      </c>
      <c r="E235" s="67">
        <v>70000</v>
      </c>
      <c r="F235" s="30">
        <f t="shared" si="1"/>
        <v>2</v>
      </c>
      <c r="G235" s="27" t="s">
        <v>779</v>
      </c>
      <c r="H235" s="57" t="s">
        <v>8</v>
      </c>
    </row>
    <row r="236" spans="1:8">
      <c r="A236" s="62" t="s">
        <v>197</v>
      </c>
      <c r="B236" s="64">
        <v>45937</v>
      </c>
      <c r="C236" s="27" t="s">
        <v>779</v>
      </c>
      <c r="D236" s="66" t="s">
        <v>198</v>
      </c>
      <c r="E236" s="68">
        <v>80000</v>
      </c>
      <c r="F236" s="70">
        <f t="shared" si="1"/>
        <v>2</v>
      </c>
      <c r="G236" s="27" t="s">
        <v>779</v>
      </c>
      <c r="H236" s="71" t="s">
        <v>8</v>
      </c>
    </row>
    <row r="237" spans="1:8">
      <c r="A237" s="61" t="s">
        <v>199</v>
      </c>
      <c r="B237" s="63">
        <v>45951</v>
      </c>
      <c r="C237" s="27" t="s">
        <v>779</v>
      </c>
      <c r="D237" s="65" t="s">
        <v>200</v>
      </c>
      <c r="E237" s="67">
        <v>230000</v>
      </c>
      <c r="F237" s="30">
        <f t="shared" si="1"/>
        <v>2.5</v>
      </c>
      <c r="G237" s="27" t="s">
        <v>779</v>
      </c>
      <c r="H237" s="57" t="s">
        <v>8</v>
      </c>
    </row>
    <row r="238" spans="1:8">
      <c r="A238" s="62" t="s">
        <v>201</v>
      </c>
      <c r="B238" s="64">
        <v>45952</v>
      </c>
      <c r="C238" s="27" t="s">
        <v>779</v>
      </c>
      <c r="D238" s="66" t="s">
        <v>202</v>
      </c>
      <c r="E238" s="68">
        <v>120000</v>
      </c>
      <c r="F238" s="70">
        <f t="shared" si="1"/>
        <v>2.5</v>
      </c>
      <c r="G238" s="27" t="s">
        <v>779</v>
      </c>
      <c r="H238" s="71" t="s">
        <v>8</v>
      </c>
    </row>
    <row r="239" spans="1:8">
      <c r="A239" s="61" t="s">
        <v>203</v>
      </c>
      <c r="B239" s="63">
        <v>45957</v>
      </c>
      <c r="C239" s="27" t="s">
        <v>779</v>
      </c>
      <c r="D239" s="65" t="s">
        <v>204</v>
      </c>
      <c r="E239" s="67">
        <v>360000</v>
      </c>
      <c r="F239" s="30">
        <f t="shared" si="1"/>
        <v>2.5</v>
      </c>
      <c r="G239" s="27" t="s">
        <v>779</v>
      </c>
      <c r="H239" s="57" t="s">
        <v>8</v>
      </c>
    </row>
    <row r="240" spans="1:8">
      <c r="A240" s="62" t="s">
        <v>205</v>
      </c>
      <c r="B240" s="64">
        <v>45957</v>
      </c>
      <c r="C240" s="27" t="s">
        <v>779</v>
      </c>
      <c r="D240" s="66" t="s">
        <v>206</v>
      </c>
      <c r="E240" s="68">
        <v>35000</v>
      </c>
      <c r="F240" s="70">
        <f t="shared" si="1"/>
        <v>1.5</v>
      </c>
      <c r="G240" s="27" t="s">
        <v>779</v>
      </c>
      <c r="H240" s="71" t="s">
        <v>8</v>
      </c>
    </row>
    <row r="241" spans="1:8">
      <c r="A241" s="61" t="s">
        <v>207</v>
      </c>
      <c r="B241" s="63">
        <v>45957</v>
      </c>
      <c r="C241" s="27" t="s">
        <v>779</v>
      </c>
      <c r="D241" s="65" t="s">
        <v>208</v>
      </c>
      <c r="E241" s="67">
        <v>45000</v>
      </c>
      <c r="F241" s="30">
        <f t="shared" si="1"/>
        <v>1.5</v>
      </c>
      <c r="G241" s="27" t="s">
        <v>779</v>
      </c>
      <c r="H241" s="57" t="s">
        <v>8</v>
      </c>
    </row>
    <row r="242" spans="1:8">
      <c r="A242" s="62" t="s">
        <v>209</v>
      </c>
      <c r="B242" s="64">
        <v>45959</v>
      </c>
      <c r="C242" s="27" t="s">
        <v>779</v>
      </c>
      <c r="D242" s="66" t="s">
        <v>164</v>
      </c>
      <c r="E242" s="68">
        <v>50000</v>
      </c>
      <c r="F242" s="70">
        <f t="shared" si="1"/>
        <v>1.5</v>
      </c>
      <c r="G242" s="27" t="s">
        <v>779</v>
      </c>
      <c r="H242" s="71" t="s">
        <v>8</v>
      </c>
    </row>
    <row r="243" spans="1:8">
      <c r="A243" s="61" t="s">
        <v>210</v>
      </c>
      <c r="B243" s="63">
        <v>45959</v>
      </c>
      <c r="C243" s="27" t="s">
        <v>779</v>
      </c>
      <c r="D243" s="65" t="s">
        <v>211</v>
      </c>
      <c r="E243" s="67">
        <v>25000</v>
      </c>
      <c r="F243" s="30">
        <f t="shared" si="1"/>
        <v>1.5</v>
      </c>
      <c r="G243" s="27" t="s">
        <v>779</v>
      </c>
      <c r="H243" s="57" t="s">
        <v>8</v>
      </c>
    </row>
    <row r="244" spans="1:8">
      <c r="A244" s="62" t="s">
        <v>212</v>
      </c>
      <c r="B244" s="64">
        <v>45960</v>
      </c>
      <c r="C244" s="27" t="s">
        <v>779</v>
      </c>
      <c r="D244" s="66" t="s">
        <v>213</v>
      </c>
      <c r="E244" s="68">
        <v>90000</v>
      </c>
      <c r="F244" s="70">
        <f t="shared" si="1"/>
        <v>2</v>
      </c>
      <c r="G244" s="27" t="s">
        <v>779</v>
      </c>
      <c r="H244" s="71" t="s">
        <v>8</v>
      </c>
    </row>
    <row r="245" spans="1:8">
      <c r="A245" s="61" t="s">
        <v>214</v>
      </c>
      <c r="B245" s="63">
        <v>45962</v>
      </c>
      <c r="C245" s="27" t="s">
        <v>779</v>
      </c>
      <c r="D245" s="65" t="s">
        <v>215</v>
      </c>
      <c r="E245" s="67">
        <v>170700</v>
      </c>
      <c r="F245" s="30">
        <f t="shared" si="1"/>
        <v>2.5</v>
      </c>
      <c r="G245" s="27" t="s">
        <v>779</v>
      </c>
      <c r="H245" s="57" t="s">
        <v>8</v>
      </c>
    </row>
    <row r="246" spans="1:8">
      <c r="A246" s="62" t="s">
        <v>216</v>
      </c>
      <c r="B246" s="64">
        <v>45962</v>
      </c>
      <c r="C246" s="27" t="s">
        <v>779</v>
      </c>
      <c r="D246" s="66" t="s">
        <v>217</v>
      </c>
      <c r="E246" s="68">
        <v>1000000</v>
      </c>
      <c r="F246" s="70">
        <f t="shared" si="1"/>
        <v>2.5</v>
      </c>
      <c r="G246" s="27" t="s">
        <v>779</v>
      </c>
      <c r="H246" s="71" t="s">
        <v>8</v>
      </c>
    </row>
    <row r="247" spans="1:8">
      <c r="A247" s="61" t="s">
        <v>218</v>
      </c>
      <c r="B247" s="63">
        <v>45965</v>
      </c>
      <c r="C247" s="27" t="s">
        <v>779</v>
      </c>
      <c r="D247" s="65" t="s">
        <v>219</v>
      </c>
      <c r="E247" s="67">
        <v>140000</v>
      </c>
      <c r="F247" s="30">
        <f t="shared" si="1"/>
        <v>2.5</v>
      </c>
      <c r="G247" s="27" t="s">
        <v>779</v>
      </c>
      <c r="H247" s="57" t="s">
        <v>8</v>
      </c>
    </row>
    <row r="248" spans="1:8">
      <c r="A248" s="62" t="s">
        <v>220</v>
      </c>
      <c r="B248" s="64">
        <v>45966</v>
      </c>
      <c r="C248" s="27" t="s">
        <v>779</v>
      </c>
      <c r="D248" s="66" t="s">
        <v>221</v>
      </c>
      <c r="E248" s="68">
        <v>70000</v>
      </c>
      <c r="F248" s="70">
        <f t="shared" si="1"/>
        <v>2</v>
      </c>
      <c r="G248" s="27" t="s">
        <v>779</v>
      </c>
      <c r="H248" s="71" t="s">
        <v>8</v>
      </c>
    </row>
    <row r="249" spans="1:8">
      <c r="A249" s="61" t="s">
        <v>222</v>
      </c>
      <c r="B249" s="63">
        <v>45966</v>
      </c>
      <c r="C249" s="27" t="s">
        <v>779</v>
      </c>
      <c r="D249" s="65" t="s">
        <v>223</v>
      </c>
      <c r="E249" s="67">
        <v>31000</v>
      </c>
      <c r="F249" s="30">
        <f t="shared" si="1"/>
        <v>1.5</v>
      </c>
      <c r="G249" s="27" t="s">
        <v>779</v>
      </c>
      <c r="H249" s="57" t="s">
        <v>8</v>
      </c>
    </row>
    <row r="250" spans="1:8">
      <c r="A250" s="62" t="s">
        <v>224</v>
      </c>
      <c r="B250" s="64">
        <v>45971</v>
      </c>
      <c r="C250" s="27" t="s">
        <v>779</v>
      </c>
      <c r="D250" s="66" t="s">
        <v>225</v>
      </c>
      <c r="E250" s="68">
        <v>380000</v>
      </c>
      <c r="F250" s="70">
        <f t="shared" si="1"/>
        <v>2.5</v>
      </c>
      <c r="G250" s="27" t="s">
        <v>779</v>
      </c>
      <c r="H250" s="71" t="s">
        <v>8</v>
      </c>
    </row>
    <row r="251" spans="1:8">
      <c r="A251" s="61" t="s">
        <v>226</v>
      </c>
      <c r="B251" s="63">
        <v>45992</v>
      </c>
      <c r="C251" s="27" t="s">
        <v>779</v>
      </c>
      <c r="D251" s="65" t="s">
        <v>227</v>
      </c>
      <c r="E251" s="67">
        <v>30000</v>
      </c>
      <c r="F251" s="30">
        <f t="shared" si="1"/>
        <v>1.5</v>
      </c>
      <c r="G251" s="27" t="s">
        <v>779</v>
      </c>
      <c r="H251" s="57" t="s">
        <v>8</v>
      </c>
    </row>
    <row r="252" spans="1:8">
      <c r="A252" s="62" t="s">
        <v>228</v>
      </c>
      <c r="B252" s="64">
        <v>45992</v>
      </c>
      <c r="C252" s="27" t="s">
        <v>779</v>
      </c>
      <c r="D252" s="66" t="s">
        <v>229</v>
      </c>
      <c r="E252" s="68">
        <v>30000</v>
      </c>
      <c r="F252" s="70">
        <f t="shared" si="1"/>
        <v>1.5</v>
      </c>
      <c r="G252" s="27" t="s">
        <v>779</v>
      </c>
      <c r="H252" s="71" t="s">
        <v>8</v>
      </c>
    </row>
    <row r="253" spans="1:8">
      <c r="A253" s="61" t="s">
        <v>230</v>
      </c>
      <c r="B253" s="63">
        <v>45992</v>
      </c>
      <c r="C253" s="27" t="s">
        <v>779</v>
      </c>
      <c r="D253" s="65" t="s">
        <v>231</v>
      </c>
      <c r="E253" s="67">
        <v>34000</v>
      </c>
      <c r="F253" s="30">
        <f t="shared" si="1"/>
        <v>1.5</v>
      </c>
      <c r="G253" s="27" t="s">
        <v>779</v>
      </c>
      <c r="H253" s="57" t="s">
        <v>8</v>
      </c>
    </row>
    <row r="254" spans="1:8">
      <c r="A254" s="62" t="s">
        <v>232</v>
      </c>
      <c r="B254" s="64">
        <v>45994</v>
      </c>
      <c r="C254" s="27" t="s">
        <v>779</v>
      </c>
      <c r="D254" s="66" t="s">
        <v>233</v>
      </c>
      <c r="E254" s="68">
        <v>120000</v>
      </c>
      <c r="F254" s="70">
        <f t="shared" si="1"/>
        <v>2.5</v>
      </c>
      <c r="G254" s="27" t="s">
        <v>779</v>
      </c>
      <c r="H254" s="71" t="s">
        <v>8</v>
      </c>
    </row>
    <row r="255" spans="1:8">
      <c r="A255" s="61" t="s">
        <v>234</v>
      </c>
      <c r="B255" s="63">
        <v>45996</v>
      </c>
      <c r="C255" s="27" t="s">
        <v>779</v>
      </c>
      <c r="D255" s="65" t="s">
        <v>235</v>
      </c>
      <c r="E255" s="67">
        <v>31000</v>
      </c>
      <c r="F255" s="30">
        <f t="shared" si="1"/>
        <v>1.5</v>
      </c>
      <c r="G255" s="27" t="s">
        <v>779</v>
      </c>
      <c r="H255" s="57" t="s">
        <v>8</v>
      </c>
    </row>
    <row r="256" spans="1:8">
      <c r="A256" s="62" t="s">
        <v>236</v>
      </c>
      <c r="B256" s="64">
        <v>45997</v>
      </c>
      <c r="C256" s="27" t="s">
        <v>779</v>
      </c>
      <c r="D256" s="66" t="s">
        <v>237</v>
      </c>
      <c r="E256" s="68">
        <v>50000</v>
      </c>
      <c r="F256" s="70">
        <f t="shared" si="1"/>
        <v>1.5</v>
      </c>
      <c r="G256" s="27" t="s">
        <v>779</v>
      </c>
      <c r="H256" s="71" t="s">
        <v>8</v>
      </c>
    </row>
    <row r="257" spans="1:8">
      <c r="A257" s="61" t="s">
        <v>238</v>
      </c>
      <c r="B257" s="63">
        <v>45999</v>
      </c>
      <c r="C257" s="27" t="s">
        <v>779</v>
      </c>
      <c r="D257" s="65" t="s">
        <v>239</v>
      </c>
      <c r="E257" s="67">
        <v>48000</v>
      </c>
      <c r="F257" s="30">
        <f t="shared" si="1"/>
        <v>1.5</v>
      </c>
      <c r="G257" s="27" t="s">
        <v>779</v>
      </c>
      <c r="H257" s="57" t="s">
        <v>8</v>
      </c>
    </row>
    <row r="258" spans="1:8">
      <c r="A258" s="62" t="s">
        <v>240</v>
      </c>
      <c r="B258" s="64">
        <v>45999</v>
      </c>
      <c r="C258" s="27" t="s">
        <v>779</v>
      </c>
      <c r="D258" s="66" t="s">
        <v>215</v>
      </c>
      <c r="E258" s="68">
        <v>40000</v>
      </c>
      <c r="F258" s="70">
        <f t="shared" si="1"/>
        <v>1.5</v>
      </c>
      <c r="G258" s="27" t="s">
        <v>779</v>
      </c>
      <c r="H258" s="71" t="s">
        <v>8</v>
      </c>
    </row>
    <row r="259" spans="1:8">
      <c r="A259" s="61" t="s">
        <v>241</v>
      </c>
      <c r="B259" s="63">
        <v>46006</v>
      </c>
      <c r="C259" s="27" t="s">
        <v>779</v>
      </c>
      <c r="D259" s="65" t="s">
        <v>242</v>
      </c>
      <c r="E259" s="67">
        <v>70000</v>
      </c>
      <c r="F259" s="30">
        <f t="shared" si="1"/>
        <v>2</v>
      </c>
      <c r="G259" s="27" t="s">
        <v>779</v>
      </c>
      <c r="H259" s="57" t="s">
        <v>8</v>
      </c>
    </row>
    <row r="260" spans="1:8">
      <c r="A260" s="62" t="s">
        <v>243</v>
      </c>
      <c r="B260" s="64">
        <v>46007</v>
      </c>
      <c r="C260" s="27" t="s">
        <v>779</v>
      </c>
      <c r="D260" s="66" t="s">
        <v>244</v>
      </c>
      <c r="E260" s="68">
        <v>170000</v>
      </c>
      <c r="F260" s="70">
        <f t="shared" si="1"/>
        <v>2.5</v>
      </c>
      <c r="G260" s="27" t="s">
        <v>779</v>
      </c>
      <c r="H260" s="71" t="s">
        <v>8</v>
      </c>
    </row>
    <row r="261" spans="1:8">
      <c r="A261" s="61" t="s">
        <v>245</v>
      </c>
      <c r="B261" s="63">
        <v>45985</v>
      </c>
      <c r="C261" s="27" t="s">
        <v>779</v>
      </c>
      <c r="D261" s="65" t="s">
        <v>217</v>
      </c>
      <c r="E261" s="67">
        <v>350000</v>
      </c>
      <c r="F261" s="30">
        <f t="shared" si="1"/>
        <v>2.5</v>
      </c>
      <c r="G261" s="27" t="s">
        <v>779</v>
      </c>
      <c r="H261" s="57" t="s">
        <v>8</v>
      </c>
    </row>
    <row r="262" spans="1:8">
      <c r="A262" s="62" t="s">
        <v>246</v>
      </c>
      <c r="B262" s="64">
        <v>46011</v>
      </c>
      <c r="C262" s="27" t="s">
        <v>779</v>
      </c>
      <c r="D262" s="66" t="s">
        <v>247</v>
      </c>
      <c r="E262" s="68">
        <v>32000</v>
      </c>
      <c r="F262" s="70">
        <f t="shared" si="1"/>
        <v>1.5</v>
      </c>
      <c r="G262" s="27" t="s">
        <v>779</v>
      </c>
      <c r="H262" s="71" t="s">
        <v>8</v>
      </c>
    </row>
    <row r="263" spans="1:8">
      <c r="A263" s="61" t="s">
        <v>248</v>
      </c>
      <c r="B263" s="63">
        <v>46013</v>
      </c>
      <c r="C263" s="27" t="s">
        <v>779</v>
      </c>
      <c r="D263" s="65" t="s">
        <v>249</v>
      </c>
      <c r="E263" s="67">
        <v>120000</v>
      </c>
      <c r="F263" s="30">
        <f t="shared" si="1"/>
        <v>2.5</v>
      </c>
      <c r="G263" s="27" t="s">
        <v>779</v>
      </c>
      <c r="H263" s="57" t="s">
        <v>8</v>
      </c>
    </row>
    <row r="264" spans="1:8">
      <c r="A264" s="62" t="s">
        <v>250</v>
      </c>
      <c r="B264" s="64">
        <v>46014</v>
      </c>
      <c r="C264" s="27" t="s">
        <v>779</v>
      </c>
      <c r="D264" s="66" t="s">
        <v>251</v>
      </c>
      <c r="E264" s="68">
        <v>45000</v>
      </c>
      <c r="F264" s="70">
        <f t="shared" si="1"/>
        <v>1.5</v>
      </c>
      <c r="G264" s="27" t="s">
        <v>779</v>
      </c>
      <c r="H264" s="71" t="s">
        <v>8</v>
      </c>
    </row>
    <row r="265" spans="1:8">
      <c r="A265" s="61" t="s">
        <v>252</v>
      </c>
      <c r="B265" s="63">
        <v>46014</v>
      </c>
      <c r="C265" s="27" t="s">
        <v>779</v>
      </c>
      <c r="D265" s="65" t="s">
        <v>253</v>
      </c>
      <c r="E265" s="67">
        <v>40000</v>
      </c>
      <c r="F265" s="30">
        <f t="shared" si="1"/>
        <v>1.5</v>
      </c>
      <c r="G265" s="27" t="s">
        <v>779</v>
      </c>
      <c r="H265" s="57" t="s">
        <v>8</v>
      </c>
    </row>
    <row r="266" spans="1:8">
      <c r="A266" s="62" t="s">
        <v>254</v>
      </c>
      <c r="B266" s="64">
        <v>46016</v>
      </c>
      <c r="C266" s="27" t="s">
        <v>779</v>
      </c>
      <c r="D266" s="66" t="s">
        <v>255</v>
      </c>
      <c r="E266" s="68">
        <v>170000</v>
      </c>
      <c r="F266" s="70">
        <f t="shared" ref="F266:F329" si="2">IF(E266&lt;=50000,1.5,IF(E266&lt;=100000,2,2.5))</f>
        <v>2.5</v>
      </c>
      <c r="G266" s="27" t="s">
        <v>779</v>
      </c>
      <c r="H266" s="71" t="s">
        <v>8</v>
      </c>
    </row>
    <row r="267" spans="1:8">
      <c r="A267" s="61" t="s">
        <v>256</v>
      </c>
      <c r="B267" s="63">
        <v>46018</v>
      </c>
      <c r="C267" s="27" t="s">
        <v>779</v>
      </c>
      <c r="D267" s="65" t="s">
        <v>257</v>
      </c>
      <c r="E267" s="67">
        <v>40000</v>
      </c>
      <c r="F267" s="30">
        <f t="shared" si="2"/>
        <v>1.5</v>
      </c>
      <c r="G267" s="27" t="s">
        <v>779</v>
      </c>
      <c r="H267" s="57" t="s">
        <v>8</v>
      </c>
    </row>
    <row r="268" spans="1:8">
      <c r="A268" s="62" t="s">
        <v>258</v>
      </c>
      <c r="B268" s="64">
        <v>46018</v>
      </c>
      <c r="C268" s="27" t="s">
        <v>779</v>
      </c>
      <c r="D268" s="66" t="s">
        <v>259</v>
      </c>
      <c r="E268" s="68">
        <v>190000</v>
      </c>
      <c r="F268" s="70">
        <f t="shared" si="2"/>
        <v>2.5</v>
      </c>
      <c r="G268" s="27" t="s">
        <v>779</v>
      </c>
      <c r="H268" s="71" t="s">
        <v>8</v>
      </c>
    </row>
    <row r="269" spans="1:8">
      <c r="A269" s="61" t="s">
        <v>260</v>
      </c>
      <c r="B269" s="63">
        <v>46028</v>
      </c>
      <c r="C269" s="27" t="s">
        <v>779</v>
      </c>
      <c r="D269" s="65" t="s">
        <v>261</v>
      </c>
      <c r="E269" s="67">
        <v>80000</v>
      </c>
      <c r="F269" s="30">
        <f t="shared" si="2"/>
        <v>2</v>
      </c>
      <c r="G269" s="27" t="s">
        <v>779</v>
      </c>
      <c r="H269" s="57" t="s">
        <v>8</v>
      </c>
    </row>
    <row r="270" spans="1:8">
      <c r="A270" s="62" t="s">
        <v>262</v>
      </c>
      <c r="B270" s="64">
        <v>46029</v>
      </c>
      <c r="C270" s="27" t="s">
        <v>779</v>
      </c>
      <c r="D270" s="66" t="s">
        <v>263</v>
      </c>
      <c r="E270" s="68">
        <v>30000</v>
      </c>
      <c r="F270" s="70">
        <f t="shared" si="2"/>
        <v>1.5</v>
      </c>
      <c r="G270" s="27" t="s">
        <v>779</v>
      </c>
      <c r="H270" s="71" t="s">
        <v>8</v>
      </c>
    </row>
    <row r="271" spans="1:8">
      <c r="A271" s="61" t="s">
        <v>264</v>
      </c>
      <c r="B271" s="63">
        <v>46029</v>
      </c>
      <c r="C271" s="27" t="s">
        <v>779</v>
      </c>
      <c r="D271" s="65" t="s">
        <v>265</v>
      </c>
      <c r="E271" s="67">
        <v>65000</v>
      </c>
      <c r="F271" s="30">
        <f t="shared" si="2"/>
        <v>2</v>
      </c>
      <c r="G271" s="27" t="s">
        <v>779</v>
      </c>
      <c r="H271" s="57" t="s">
        <v>8</v>
      </c>
    </row>
    <row r="272" spans="1:8">
      <c r="A272" s="62" t="s">
        <v>266</v>
      </c>
      <c r="B272" s="64">
        <v>46030</v>
      </c>
      <c r="C272" s="27" t="s">
        <v>779</v>
      </c>
      <c r="D272" s="66" t="s">
        <v>267</v>
      </c>
      <c r="E272" s="68">
        <v>100000</v>
      </c>
      <c r="F272" s="70">
        <f t="shared" si="2"/>
        <v>2</v>
      </c>
      <c r="G272" s="27" t="s">
        <v>779</v>
      </c>
      <c r="H272" s="71" t="s">
        <v>8</v>
      </c>
    </row>
    <row r="273" spans="1:8">
      <c r="A273" s="61" t="s">
        <v>268</v>
      </c>
      <c r="B273" s="63">
        <v>46030</v>
      </c>
      <c r="C273" s="27" t="s">
        <v>779</v>
      </c>
      <c r="D273" s="65" t="s">
        <v>269</v>
      </c>
      <c r="E273" s="67">
        <v>100000</v>
      </c>
      <c r="F273" s="30">
        <f t="shared" si="2"/>
        <v>2</v>
      </c>
      <c r="G273" s="27" t="s">
        <v>779</v>
      </c>
      <c r="H273" s="57" t="s">
        <v>8</v>
      </c>
    </row>
    <row r="274" spans="1:8">
      <c r="A274" s="62" t="s">
        <v>270</v>
      </c>
      <c r="B274" s="64">
        <v>46030</v>
      </c>
      <c r="C274" s="27" t="s">
        <v>779</v>
      </c>
      <c r="D274" s="66" t="s">
        <v>271</v>
      </c>
      <c r="E274" s="68">
        <v>40000</v>
      </c>
      <c r="F274" s="70">
        <f t="shared" si="2"/>
        <v>1.5</v>
      </c>
      <c r="G274" s="27" t="s">
        <v>779</v>
      </c>
      <c r="H274" s="71" t="s">
        <v>8</v>
      </c>
    </row>
    <row r="275" spans="1:8">
      <c r="A275" s="61" t="s">
        <v>272</v>
      </c>
      <c r="B275" s="63">
        <v>46030</v>
      </c>
      <c r="C275" s="27" t="s">
        <v>779</v>
      </c>
      <c r="D275" s="65" t="s">
        <v>273</v>
      </c>
      <c r="E275" s="67">
        <v>20000</v>
      </c>
      <c r="F275" s="30">
        <f t="shared" si="2"/>
        <v>1.5</v>
      </c>
      <c r="G275" s="27" t="s">
        <v>779</v>
      </c>
      <c r="H275" s="57" t="s">
        <v>8</v>
      </c>
    </row>
    <row r="276" spans="1:8">
      <c r="A276" s="62" t="s">
        <v>274</v>
      </c>
      <c r="B276" s="64">
        <v>46030</v>
      </c>
      <c r="C276" s="27" t="s">
        <v>779</v>
      </c>
      <c r="D276" s="66" t="s">
        <v>267</v>
      </c>
      <c r="E276" s="68">
        <v>50000</v>
      </c>
      <c r="F276" s="70">
        <f t="shared" si="2"/>
        <v>1.5</v>
      </c>
      <c r="G276" s="27" t="s">
        <v>779</v>
      </c>
      <c r="H276" s="71" t="s">
        <v>8</v>
      </c>
    </row>
    <row r="277" spans="1:8">
      <c r="A277" s="61" t="s">
        <v>275</v>
      </c>
      <c r="B277" s="63">
        <v>46030</v>
      </c>
      <c r="C277" s="27" t="s">
        <v>779</v>
      </c>
      <c r="D277" s="65" t="s">
        <v>276</v>
      </c>
      <c r="E277" s="67">
        <v>45000</v>
      </c>
      <c r="F277" s="30">
        <f t="shared" si="2"/>
        <v>1.5</v>
      </c>
      <c r="G277" s="27" t="s">
        <v>779</v>
      </c>
      <c r="H277" s="57" t="s">
        <v>8</v>
      </c>
    </row>
    <row r="278" spans="1:8">
      <c r="A278" s="62" t="s">
        <v>277</v>
      </c>
      <c r="B278" s="64">
        <v>46030</v>
      </c>
      <c r="C278" s="27" t="s">
        <v>779</v>
      </c>
      <c r="D278" s="66" t="s">
        <v>278</v>
      </c>
      <c r="E278" s="68">
        <v>50000</v>
      </c>
      <c r="F278" s="70">
        <f t="shared" si="2"/>
        <v>1.5</v>
      </c>
      <c r="G278" s="27" t="s">
        <v>779</v>
      </c>
      <c r="H278" s="71" t="s">
        <v>8</v>
      </c>
    </row>
    <row r="279" spans="1:8">
      <c r="A279" s="61" t="s">
        <v>279</v>
      </c>
      <c r="B279" s="63">
        <v>46043</v>
      </c>
      <c r="C279" s="27" t="s">
        <v>779</v>
      </c>
      <c r="D279" s="65" t="s">
        <v>280</v>
      </c>
      <c r="E279" s="67">
        <v>119000</v>
      </c>
      <c r="F279" s="30">
        <f t="shared" si="2"/>
        <v>2.5</v>
      </c>
      <c r="G279" s="27" t="s">
        <v>779</v>
      </c>
      <c r="H279" s="57" t="s">
        <v>8</v>
      </c>
    </row>
    <row r="280" spans="1:8">
      <c r="A280" s="62" t="s">
        <v>281</v>
      </c>
      <c r="B280" s="64">
        <v>46044</v>
      </c>
      <c r="C280" s="27" t="s">
        <v>779</v>
      </c>
      <c r="D280" s="66" t="s">
        <v>282</v>
      </c>
      <c r="E280" s="68">
        <v>45000</v>
      </c>
      <c r="F280" s="70">
        <f t="shared" si="2"/>
        <v>1.5</v>
      </c>
      <c r="G280" s="27" t="s">
        <v>779</v>
      </c>
      <c r="H280" s="71" t="s">
        <v>8</v>
      </c>
    </row>
    <row r="281" spans="1:8">
      <c r="A281" s="61" t="s">
        <v>283</v>
      </c>
      <c r="B281" s="63">
        <v>46044</v>
      </c>
      <c r="C281" s="27" t="s">
        <v>779</v>
      </c>
      <c r="D281" s="65" t="s">
        <v>284</v>
      </c>
      <c r="E281" s="67">
        <v>89000</v>
      </c>
      <c r="F281" s="30">
        <f t="shared" si="2"/>
        <v>2</v>
      </c>
      <c r="G281" s="27" t="s">
        <v>779</v>
      </c>
      <c r="H281" s="57" t="s">
        <v>8</v>
      </c>
    </row>
    <row r="282" spans="1:8">
      <c r="A282" s="62" t="s">
        <v>285</v>
      </c>
      <c r="B282" s="64">
        <v>46044</v>
      </c>
      <c r="C282" s="27" t="s">
        <v>779</v>
      </c>
      <c r="D282" s="66" t="s">
        <v>286</v>
      </c>
      <c r="E282" s="68">
        <v>93000</v>
      </c>
      <c r="F282" s="70">
        <f t="shared" si="2"/>
        <v>2</v>
      </c>
      <c r="G282" s="27" t="s">
        <v>779</v>
      </c>
      <c r="H282" s="71" t="s">
        <v>8</v>
      </c>
    </row>
    <row r="283" spans="1:8">
      <c r="A283" s="61" t="s">
        <v>287</v>
      </c>
      <c r="B283" s="63">
        <v>46045</v>
      </c>
      <c r="C283" s="27" t="s">
        <v>779</v>
      </c>
      <c r="D283" s="65" t="s">
        <v>288</v>
      </c>
      <c r="E283" s="67">
        <v>100000</v>
      </c>
      <c r="F283" s="30">
        <f t="shared" si="2"/>
        <v>2</v>
      </c>
      <c r="G283" s="27" t="s">
        <v>779</v>
      </c>
      <c r="H283" s="57" t="s">
        <v>8</v>
      </c>
    </row>
    <row r="284" spans="1:8">
      <c r="A284" s="62" t="s">
        <v>289</v>
      </c>
      <c r="B284" s="64">
        <v>46045</v>
      </c>
      <c r="C284" s="27" t="s">
        <v>779</v>
      </c>
      <c r="D284" s="66" t="s">
        <v>290</v>
      </c>
      <c r="E284" s="68">
        <v>240000</v>
      </c>
      <c r="F284" s="70">
        <f t="shared" si="2"/>
        <v>2.5</v>
      </c>
      <c r="G284" s="27" t="s">
        <v>779</v>
      </c>
      <c r="H284" s="71" t="s">
        <v>8</v>
      </c>
    </row>
    <row r="285" spans="1:8">
      <c r="A285" s="61" t="s">
        <v>291</v>
      </c>
      <c r="B285" s="63">
        <v>46045</v>
      </c>
      <c r="C285" s="27" t="s">
        <v>779</v>
      </c>
      <c r="D285" s="65" t="s">
        <v>288</v>
      </c>
      <c r="E285" s="67">
        <v>297000</v>
      </c>
      <c r="F285" s="30">
        <f t="shared" si="2"/>
        <v>2.5</v>
      </c>
      <c r="G285" s="27" t="s">
        <v>779</v>
      </c>
      <c r="H285" s="57" t="s">
        <v>8</v>
      </c>
    </row>
    <row r="286" spans="1:8">
      <c r="A286" s="62" t="s">
        <v>292</v>
      </c>
      <c r="B286" s="64">
        <v>46045</v>
      </c>
      <c r="C286" s="27" t="s">
        <v>779</v>
      </c>
      <c r="D286" s="66" t="s">
        <v>293</v>
      </c>
      <c r="E286" s="68">
        <v>50000</v>
      </c>
      <c r="F286" s="70">
        <f t="shared" si="2"/>
        <v>1.5</v>
      </c>
      <c r="G286" s="27" t="s">
        <v>779</v>
      </c>
      <c r="H286" s="71" t="s">
        <v>8</v>
      </c>
    </row>
    <row r="287" spans="1:8">
      <c r="A287" s="61" t="s">
        <v>294</v>
      </c>
      <c r="B287" s="63">
        <v>46046</v>
      </c>
      <c r="C287" s="27" t="s">
        <v>779</v>
      </c>
      <c r="D287" s="65" t="s">
        <v>295</v>
      </c>
      <c r="E287" s="67">
        <v>30000</v>
      </c>
      <c r="F287" s="30">
        <f t="shared" si="2"/>
        <v>1.5</v>
      </c>
      <c r="G287" s="27" t="s">
        <v>779</v>
      </c>
      <c r="H287" s="57" t="s">
        <v>8</v>
      </c>
    </row>
    <row r="288" spans="1:8">
      <c r="A288" s="62" t="s">
        <v>296</v>
      </c>
      <c r="B288" s="64">
        <v>46046</v>
      </c>
      <c r="C288" s="27" t="s">
        <v>779</v>
      </c>
      <c r="D288" s="66" t="s">
        <v>259</v>
      </c>
      <c r="E288" s="68">
        <v>72000</v>
      </c>
      <c r="F288" s="70">
        <f t="shared" si="2"/>
        <v>2</v>
      </c>
      <c r="G288" s="27" t="s">
        <v>779</v>
      </c>
      <c r="H288" s="71" t="s">
        <v>8</v>
      </c>
    </row>
    <row r="289" spans="1:8">
      <c r="A289" s="61" t="s">
        <v>297</v>
      </c>
      <c r="B289" s="63">
        <v>46046</v>
      </c>
      <c r="C289" s="27" t="s">
        <v>779</v>
      </c>
      <c r="D289" s="65" t="s">
        <v>133</v>
      </c>
      <c r="E289" s="67">
        <v>40000</v>
      </c>
      <c r="F289" s="30">
        <f t="shared" si="2"/>
        <v>1.5</v>
      </c>
      <c r="G289" s="27" t="s">
        <v>779</v>
      </c>
      <c r="H289" s="57" t="s">
        <v>8</v>
      </c>
    </row>
    <row r="290" spans="1:8">
      <c r="A290" s="62" t="s">
        <v>298</v>
      </c>
      <c r="B290" s="64">
        <v>46046</v>
      </c>
      <c r="C290" s="27" t="s">
        <v>779</v>
      </c>
      <c r="D290" s="66" t="s">
        <v>299</v>
      </c>
      <c r="E290" s="68">
        <v>30000</v>
      </c>
      <c r="F290" s="70">
        <f t="shared" si="2"/>
        <v>1.5</v>
      </c>
      <c r="G290" s="27" t="s">
        <v>779</v>
      </c>
      <c r="H290" s="71" t="s">
        <v>8</v>
      </c>
    </row>
    <row r="291" spans="1:8">
      <c r="A291" s="61" t="s">
        <v>300</v>
      </c>
      <c r="B291" s="63">
        <v>46046</v>
      </c>
      <c r="C291" s="27" t="s">
        <v>779</v>
      </c>
      <c r="D291" s="65" t="s">
        <v>301</v>
      </c>
      <c r="E291" s="67">
        <v>50000</v>
      </c>
      <c r="F291" s="30">
        <f t="shared" si="2"/>
        <v>1.5</v>
      </c>
      <c r="G291" s="27" t="s">
        <v>779</v>
      </c>
      <c r="H291" s="57" t="s">
        <v>8</v>
      </c>
    </row>
    <row r="292" spans="1:8">
      <c r="A292" s="62" t="s">
        <v>302</v>
      </c>
      <c r="B292" s="64">
        <v>46046</v>
      </c>
      <c r="C292" s="27" t="s">
        <v>779</v>
      </c>
      <c r="D292" s="66" t="s">
        <v>303</v>
      </c>
      <c r="E292" s="68">
        <v>200000</v>
      </c>
      <c r="F292" s="70">
        <f t="shared" si="2"/>
        <v>2.5</v>
      </c>
      <c r="G292" s="27" t="s">
        <v>779</v>
      </c>
      <c r="H292" s="71" t="s">
        <v>8</v>
      </c>
    </row>
    <row r="293" spans="1:8">
      <c r="A293" s="61" t="s">
        <v>304</v>
      </c>
      <c r="B293" s="63">
        <v>46048</v>
      </c>
      <c r="C293" s="27" t="s">
        <v>779</v>
      </c>
      <c r="D293" s="65" t="s">
        <v>305</v>
      </c>
      <c r="E293" s="67">
        <v>299400</v>
      </c>
      <c r="F293" s="30">
        <f t="shared" si="2"/>
        <v>2.5</v>
      </c>
      <c r="G293" s="27" t="s">
        <v>779</v>
      </c>
      <c r="H293" s="57" t="s">
        <v>8</v>
      </c>
    </row>
    <row r="294" spans="1:8">
      <c r="A294" s="62" t="s">
        <v>306</v>
      </c>
      <c r="B294" s="64">
        <v>46049</v>
      </c>
      <c r="C294" s="27" t="s">
        <v>779</v>
      </c>
      <c r="D294" s="66" t="s">
        <v>307</v>
      </c>
      <c r="E294" s="68">
        <v>112000</v>
      </c>
      <c r="F294" s="70">
        <f t="shared" si="2"/>
        <v>2.5</v>
      </c>
      <c r="G294" s="27" t="s">
        <v>779</v>
      </c>
      <c r="H294" s="71" t="s">
        <v>8</v>
      </c>
    </row>
    <row r="295" spans="1:8">
      <c r="A295" s="61" t="s">
        <v>308</v>
      </c>
      <c r="B295" s="63">
        <v>46050</v>
      </c>
      <c r="C295" s="27" t="s">
        <v>779</v>
      </c>
      <c r="D295" s="65" t="s">
        <v>309</v>
      </c>
      <c r="E295" s="67">
        <v>20000</v>
      </c>
      <c r="F295" s="30">
        <f t="shared" si="2"/>
        <v>1.5</v>
      </c>
      <c r="G295" s="27" t="s">
        <v>779</v>
      </c>
      <c r="H295" s="57" t="s">
        <v>8</v>
      </c>
    </row>
    <row r="296" spans="1:8">
      <c r="A296" s="62" t="s">
        <v>310</v>
      </c>
      <c r="B296" s="64">
        <v>46050</v>
      </c>
      <c r="C296" s="27" t="s">
        <v>779</v>
      </c>
      <c r="D296" s="66" t="s">
        <v>311</v>
      </c>
      <c r="E296" s="68">
        <v>26000</v>
      </c>
      <c r="F296" s="70">
        <f t="shared" si="2"/>
        <v>1.5</v>
      </c>
      <c r="G296" s="27" t="s">
        <v>779</v>
      </c>
      <c r="H296" s="71" t="s">
        <v>8</v>
      </c>
    </row>
    <row r="297" spans="1:8">
      <c r="A297" s="61" t="s">
        <v>312</v>
      </c>
      <c r="B297" s="63">
        <v>46051</v>
      </c>
      <c r="C297" s="27" t="s">
        <v>779</v>
      </c>
      <c r="D297" s="65" t="s">
        <v>313</v>
      </c>
      <c r="E297" s="67">
        <v>180000</v>
      </c>
      <c r="F297" s="30">
        <f t="shared" si="2"/>
        <v>2.5</v>
      </c>
      <c r="G297" s="27" t="s">
        <v>779</v>
      </c>
      <c r="H297" s="57" t="s">
        <v>8</v>
      </c>
    </row>
    <row r="298" spans="1:8">
      <c r="A298" s="62" t="s">
        <v>314</v>
      </c>
      <c r="B298" s="64">
        <v>46053</v>
      </c>
      <c r="C298" s="27" t="s">
        <v>779</v>
      </c>
      <c r="D298" s="66" t="s">
        <v>315</v>
      </c>
      <c r="E298" s="68">
        <v>83100</v>
      </c>
      <c r="F298" s="70">
        <f t="shared" si="2"/>
        <v>2</v>
      </c>
      <c r="G298" s="27" t="s">
        <v>779</v>
      </c>
      <c r="H298" s="71" t="s">
        <v>8</v>
      </c>
    </row>
    <row r="299" spans="1:8">
      <c r="A299" s="61" t="s">
        <v>316</v>
      </c>
      <c r="B299" s="63">
        <v>46055</v>
      </c>
      <c r="C299" s="27" t="s">
        <v>779</v>
      </c>
      <c r="D299" s="65" t="s">
        <v>317</v>
      </c>
      <c r="E299" s="67">
        <v>154000</v>
      </c>
      <c r="F299" s="30">
        <f t="shared" si="2"/>
        <v>2.5</v>
      </c>
      <c r="G299" s="27" t="s">
        <v>779</v>
      </c>
      <c r="H299" s="57" t="s">
        <v>8</v>
      </c>
    </row>
    <row r="300" spans="1:8">
      <c r="A300" s="62" t="s">
        <v>318</v>
      </c>
      <c r="B300" s="64">
        <v>46062</v>
      </c>
      <c r="C300" s="27" t="s">
        <v>779</v>
      </c>
      <c r="D300" s="66" t="s">
        <v>319</v>
      </c>
      <c r="E300" s="68">
        <v>210000</v>
      </c>
      <c r="F300" s="70">
        <f t="shared" si="2"/>
        <v>2.5</v>
      </c>
      <c r="G300" s="27" t="s">
        <v>779</v>
      </c>
      <c r="H300" s="71" t="s">
        <v>8</v>
      </c>
    </row>
    <row r="301" spans="1:8">
      <c r="A301" s="61" t="s">
        <v>320</v>
      </c>
      <c r="B301" s="63">
        <v>46064</v>
      </c>
      <c r="C301" s="27" t="s">
        <v>779</v>
      </c>
      <c r="D301" s="65" t="s">
        <v>321</v>
      </c>
      <c r="E301" s="67">
        <v>190000</v>
      </c>
      <c r="F301" s="30">
        <f t="shared" si="2"/>
        <v>2.5</v>
      </c>
      <c r="G301" s="27" t="s">
        <v>779</v>
      </c>
      <c r="H301" s="57" t="s">
        <v>8</v>
      </c>
    </row>
    <row r="302" spans="1:8">
      <c r="A302" s="62" t="s">
        <v>322</v>
      </c>
      <c r="B302" s="64">
        <v>46064</v>
      </c>
      <c r="C302" s="27" t="s">
        <v>779</v>
      </c>
      <c r="D302" s="66" t="s">
        <v>323</v>
      </c>
      <c r="E302" s="68">
        <v>318000</v>
      </c>
      <c r="F302" s="70">
        <f t="shared" si="2"/>
        <v>2.5</v>
      </c>
      <c r="G302" s="27" t="s">
        <v>779</v>
      </c>
      <c r="H302" s="71" t="s">
        <v>8</v>
      </c>
    </row>
    <row r="303" spans="1:8">
      <c r="A303" s="61" t="s">
        <v>324</v>
      </c>
      <c r="B303" s="63">
        <v>46064</v>
      </c>
      <c r="C303" s="27" t="s">
        <v>779</v>
      </c>
      <c r="D303" s="65" t="s">
        <v>325</v>
      </c>
      <c r="E303" s="67">
        <v>60000</v>
      </c>
      <c r="F303" s="30">
        <f t="shared" si="2"/>
        <v>2</v>
      </c>
      <c r="G303" s="27" t="s">
        <v>779</v>
      </c>
      <c r="H303" s="57" t="s">
        <v>8</v>
      </c>
    </row>
    <row r="304" spans="1:8">
      <c r="A304" s="62" t="s">
        <v>326</v>
      </c>
      <c r="B304" s="64">
        <v>46067</v>
      </c>
      <c r="C304" s="27" t="s">
        <v>779</v>
      </c>
      <c r="D304" s="66" t="s">
        <v>327</v>
      </c>
      <c r="E304" s="68">
        <v>420000</v>
      </c>
      <c r="F304" s="70">
        <f t="shared" si="2"/>
        <v>2.5</v>
      </c>
      <c r="G304" s="27" t="s">
        <v>779</v>
      </c>
      <c r="H304" s="71" t="s">
        <v>8</v>
      </c>
    </row>
    <row r="305" spans="1:8">
      <c r="A305" s="61" t="s">
        <v>328</v>
      </c>
      <c r="B305" s="63">
        <v>46069</v>
      </c>
      <c r="C305" s="27" t="s">
        <v>779</v>
      </c>
      <c r="D305" s="65" t="s">
        <v>329</v>
      </c>
      <c r="E305" s="67">
        <v>125000</v>
      </c>
      <c r="F305" s="30">
        <f t="shared" si="2"/>
        <v>2.5</v>
      </c>
      <c r="G305" s="27" t="s">
        <v>779</v>
      </c>
      <c r="H305" s="57" t="s">
        <v>8</v>
      </c>
    </row>
    <row r="306" spans="1:8">
      <c r="A306" s="62" t="s">
        <v>330</v>
      </c>
      <c r="B306" s="64">
        <v>46071</v>
      </c>
      <c r="C306" s="27" t="s">
        <v>779</v>
      </c>
      <c r="D306" s="66" t="s">
        <v>239</v>
      </c>
      <c r="E306" s="68">
        <v>160000</v>
      </c>
      <c r="F306" s="70">
        <f t="shared" si="2"/>
        <v>2.5</v>
      </c>
      <c r="G306" s="27" t="s">
        <v>779</v>
      </c>
      <c r="H306" s="71" t="s">
        <v>8</v>
      </c>
    </row>
    <row r="307" spans="1:8">
      <c r="A307" s="61" t="s">
        <v>331</v>
      </c>
      <c r="B307" s="63">
        <v>46071</v>
      </c>
      <c r="C307" s="27" t="s">
        <v>779</v>
      </c>
      <c r="D307" s="65" t="s">
        <v>332</v>
      </c>
      <c r="E307" s="67">
        <v>40000</v>
      </c>
      <c r="F307" s="30">
        <f t="shared" si="2"/>
        <v>1.5</v>
      </c>
      <c r="G307" s="27" t="s">
        <v>779</v>
      </c>
      <c r="H307" s="57" t="s">
        <v>8</v>
      </c>
    </row>
    <row r="308" spans="1:8">
      <c r="A308" s="62" t="s">
        <v>333</v>
      </c>
      <c r="B308" s="64">
        <v>46071</v>
      </c>
      <c r="C308" s="27" t="s">
        <v>779</v>
      </c>
      <c r="D308" s="66" t="s">
        <v>93</v>
      </c>
      <c r="E308" s="68">
        <v>75000</v>
      </c>
      <c r="F308" s="70">
        <f t="shared" si="2"/>
        <v>2</v>
      </c>
      <c r="G308" s="27" t="s">
        <v>779</v>
      </c>
      <c r="H308" s="71" t="s">
        <v>8</v>
      </c>
    </row>
    <row r="309" spans="1:8">
      <c r="A309" s="61" t="s">
        <v>334</v>
      </c>
      <c r="B309" s="63">
        <v>46076</v>
      </c>
      <c r="C309" s="27" t="s">
        <v>779</v>
      </c>
      <c r="D309" s="65" t="s">
        <v>335</v>
      </c>
      <c r="E309" s="67">
        <v>172375</v>
      </c>
      <c r="F309" s="30">
        <f t="shared" si="2"/>
        <v>2.5</v>
      </c>
      <c r="G309" s="27" t="s">
        <v>779</v>
      </c>
      <c r="H309" s="57" t="s">
        <v>8</v>
      </c>
    </row>
    <row r="310" spans="1:8">
      <c r="A310" s="62" t="s">
        <v>336</v>
      </c>
      <c r="B310" s="64">
        <v>46079</v>
      </c>
      <c r="C310" s="27" t="s">
        <v>779</v>
      </c>
      <c r="D310" s="66" t="s">
        <v>337</v>
      </c>
      <c r="E310" s="68">
        <v>309000</v>
      </c>
      <c r="F310" s="70">
        <f t="shared" si="2"/>
        <v>2.5</v>
      </c>
      <c r="G310" s="27" t="s">
        <v>779</v>
      </c>
      <c r="H310" s="71" t="s">
        <v>8</v>
      </c>
    </row>
    <row r="311" spans="1:8">
      <c r="A311" s="61" t="s">
        <v>338</v>
      </c>
      <c r="B311" s="63">
        <v>46086</v>
      </c>
      <c r="C311" s="27" t="s">
        <v>779</v>
      </c>
      <c r="D311" s="65" t="s">
        <v>339</v>
      </c>
      <c r="E311" s="67">
        <v>120000</v>
      </c>
      <c r="F311" s="30">
        <f t="shared" si="2"/>
        <v>2.5</v>
      </c>
      <c r="G311" s="27" t="s">
        <v>779</v>
      </c>
      <c r="H311" s="57" t="s">
        <v>8</v>
      </c>
    </row>
    <row r="312" spans="1:8">
      <c r="A312" s="62" t="s">
        <v>340</v>
      </c>
      <c r="B312" s="64">
        <v>46087</v>
      </c>
      <c r="C312" s="27" t="s">
        <v>779</v>
      </c>
      <c r="D312" s="66" t="s">
        <v>341</v>
      </c>
      <c r="E312" s="68">
        <v>140000</v>
      </c>
      <c r="F312" s="70">
        <f t="shared" si="2"/>
        <v>2.5</v>
      </c>
      <c r="G312" s="27" t="s">
        <v>779</v>
      </c>
      <c r="H312" s="71" t="s">
        <v>8</v>
      </c>
    </row>
    <row r="313" spans="1:8">
      <c r="A313" s="61" t="s">
        <v>342</v>
      </c>
      <c r="B313" s="63">
        <v>46087</v>
      </c>
      <c r="C313" s="27" t="s">
        <v>779</v>
      </c>
      <c r="D313" s="65" t="s">
        <v>343</v>
      </c>
      <c r="E313" s="67">
        <v>210000</v>
      </c>
      <c r="F313" s="30">
        <f t="shared" si="2"/>
        <v>2.5</v>
      </c>
      <c r="G313" s="27" t="s">
        <v>779</v>
      </c>
      <c r="H313" s="57" t="s">
        <v>8</v>
      </c>
    </row>
    <row r="314" spans="1:8">
      <c r="A314" s="62" t="s">
        <v>344</v>
      </c>
      <c r="B314" s="64">
        <v>46087</v>
      </c>
      <c r="C314" s="27" t="s">
        <v>779</v>
      </c>
      <c r="D314" s="66" t="s">
        <v>345</v>
      </c>
      <c r="E314" s="68">
        <v>196000</v>
      </c>
      <c r="F314" s="70">
        <f t="shared" si="2"/>
        <v>2.5</v>
      </c>
      <c r="G314" s="27" t="s">
        <v>779</v>
      </c>
      <c r="H314" s="71" t="s">
        <v>8</v>
      </c>
    </row>
    <row r="315" spans="1:8">
      <c r="A315" s="61" t="s">
        <v>346</v>
      </c>
      <c r="B315" s="63">
        <v>46088</v>
      </c>
      <c r="C315" s="27" t="s">
        <v>779</v>
      </c>
      <c r="D315" s="65" t="s">
        <v>347</v>
      </c>
      <c r="E315" s="67">
        <v>28000</v>
      </c>
      <c r="F315" s="30">
        <f t="shared" si="2"/>
        <v>1.5</v>
      </c>
      <c r="G315" s="27" t="s">
        <v>779</v>
      </c>
      <c r="H315" s="57" t="s">
        <v>8</v>
      </c>
    </row>
    <row r="316" spans="1:8">
      <c r="A316" s="62" t="s">
        <v>348</v>
      </c>
      <c r="B316" s="64">
        <v>46088</v>
      </c>
      <c r="C316" s="27" t="s">
        <v>779</v>
      </c>
      <c r="D316" s="66" t="s">
        <v>349</v>
      </c>
      <c r="E316" s="68">
        <v>72000</v>
      </c>
      <c r="F316" s="70">
        <f t="shared" si="2"/>
        <v>2</v>
      </c>
      <c r="G316" s="27" t="s">
        <v>779</v>
      </c>
      <c r="H316" s="71" t="s">
        <v>8</v>
      </c>
    </row>
    <row r="317" spans="1:8">
      <c r="A317" s="61" t="s">
        <v>350</v>
      </c>
      <c r="B317" s="63">
        <v>46088</v>
      </c>
      <c r="C317" s="27" t="s">
        <v>779</v>
      </c>
      <c r="D317" s="65" t="s">
        <v>347</v>
      </c>
      <c r="E317" s="67">
        <v>22000</v>
      </c>
      <c r="F317" s="30">
        <f t="shared" si="2"/>
        <v>1.5</v>
      </c>
      <c r="G317" s="27" t="s">
        <v>779</v>
      </c>
      <c r="H317" s="57" t="s">
        <v>8</v>
      </c>
    </row>
    <row r="318" spans="1:8">
      <c r="A318" s="62" t="s">
        <v>351</v>
      </c>
      <c r="B318" s="64">
        <v>46088</v>
      </c>
      <c r="C318" s="27" t="s">
        <v>779</v>
      </c>
      <c r="D318" s="66" t="s">
        <v>352</v>
      </c>
      <c r="E318" s="68">
        <v>20000</v>
      </c>
      <c r="F318" s="70">
        <f t="shared" si="2"/>
        <v>1.5</v>
      </c>
      <c r="G318" s="27" t="s">
        <v>779</v>
      </c>
      <c r="H318" s="71" t="s">
        <v>8</v>
      </c>
    </row>
    <row r="319" spans="1:8">
      <c r="A319" s="61" t="s">
        <v>353</v>
      </c>
      <c r="B319" s="63">
        <v>46090</v>
      </c>
      <c r="C319" s="27" t="s">
        <v>779</v>
      </c>
      <c r="D319" s="65" t="s">
        <v>280</v>
      </c>
      <c r="E319" s="67">
        <v>30000</v>
      </c>
      <c r="F319" s="30">
        <f t="shared" si="2"/>
        <v>1.5</v>
      </c>
      <c r="G319" s="27" t="s">
        <v>779</v>
      </c>
      <c r="H319" s="57" t="s">
        <v>8</v>
      </c>
    </row>
    <row r="320" spans="1:8">
      <c r="A320" s="62" t="s">
        <v>354</v>
      </c>
      <c r="B320" s="64">
        <v>46090</v>
      </c>
      <c r="C320" s="27" t="s">
        <v>779</v>
      </c>
      <c r="D320" s="66" t="s">
        <v>355</v>
      </c>
      <c r="E320" s="68">
        <v>25000</v>
      </c>
      <c r="F320" s="70">
        <f t="shared" si="2"/>
        <v>1.5</v>
      </c>
      <c r="G320" s="27" t="s">
        <v>779</v>
      </c>
      <c r="H320" s="71" t="s">
        <v>8</v>
      </c>
    </row>
    <row r="321" spans="1:8">
      <c r="A321" s="61" t="s">
        <v>356</v>
      </c>
      <c r="B321" s="63">
        <v>46090</v>
      </c>
      <c r="C321" s="27" t="s">
        <v>779</v>
      </c>
      <c r="D321" s="65" t="s">
        <v>190</v>
      </c>
      <c r="E321" s="67">
        <v>60000</v>
      </c>
      <c r="F321" s="30">
        <f t="shared" si="2"/>
        <v>2</v>
      </c>
      <c r="G321" s="27" t="s">
        <v>779</v>
      </c>
      <c r="H321" s="57" t="s">
        <v>8</v>
      </c>
    </row>
    <row r="322" spans="1:8">
      <c r="A322" s="62" t="s">
        <v>357</v>
      </c>
      <c r="B322" s="64">
        <v>46090</v>
      </c>
      <c r="C322" s="27" t="s">
        <v>779</v>
      </c>
      <c r="D322" s="66" t="s">
        <v>358</v>
      </c>
      <c r="E322" s="68">
        <v>100000</v>
      </c>
      <c r="F322" s="70">
        <f t="shared" si="2"/>
        <v>2</v>
      </c>
      <c r="G322" s="27" t="s">
        <v>779</v>
      </c>
      <c r="H322" s="71" t="s">
        <v>8</v>
      </c>
    </row>
    <row r="323" spans="1:8">
      <c r="A323" s="61" t="s">
        <v>359</v>
      </c>
      <c r="B323" s="63">
        <v>46090</v>
      </c>
      <c r="C323" s="27" t="s">
        <v>779</v>
      </c>
      <c r="D323" s="65" t="s">
        <v>360</v>
      </c>
      <c r="E323" s="67">
        <v>35000</v>
      </c>
      <c r="F323" s="30">
        <f t="shared" si="2"/>
        <v>1.5</v>
      </c>
      <c r="G323" s="27" t="s">
        <v>779</v>
      </c>
      <c r="H323" s="57" t="s">
        <v>8</v>
      </c>
    </row>
    <row r="324" spans="1:8">
      <c r="A324" s="62" t="s">
        <v>361</v>
      </c>
      <c r="B324" s="64">
        <v>46090</v>
      </c>
      <c r="C324" s="27" t="s">
        <v>779</v>
      </c>
      <c r="D324" s="66" t="s">
        <v>362</v>
      </c>
      <c r="E324" s="68">
        <v>50000</v>
      </c>
      <c r="F324" s="70">
        <f t="shared" si="2"/>
        <v>1.5</v>
      </c>
      <c r="G324" s="27" t="s">
        <v>779</v>
      </c>
      <c r="H324" s="71" t="s">
        <v>8</v>
      </c>
    </row>
    <row r="325" spans="1:8">
      <c r="A325" s="61" t="s">
        <v>363</v>
      </c>
      <c r="B325" s="63">
        <v>46091</v>
      </c>
      <c r="C325" s="27" t="s">
        <v>779</v>
      </c>
      <c r="D325" s="65" t="s">
        <v>133</v>
      </c>
      <c r="E325" s="67">
        <v>25000</v>
      </c>
      <c r="F325" s="30">
        <f t="shared" si="2"/>
        <v>1.5</v>
      </c>
      <c r="G325" s="27" t="s">
        <v>779</v>
      </c>
      <c r="H325" s="57" t="s">
        <v>8</v>
      </c>
    </row>
    <row r="326" spans="1:8">
      <c r="A326" s="62" t="s">
        <v>364</v>
      </c>
      <c r="B326" s="64">
        <v>46092</v>
      </c>
      <c r="C326" s="27" t="s">
        <v>779</v>
      </c>
      <c r="D326" s="66" t="s">
        <v>365</v>
      </c>
      <c r="E326" s="68">
        <v>125000</v>
      </c>
      <c r="F326" s="70">
        <f t="shared" si="2"/>
        <v>2.5</v>
      </c>
      <c r="G326" s="27" t="s">
        <v>779</v>
      </c>
      <c r="H326" s="71" t="s">
        <v>8</v>
      </c>
    </row>
    <row r="327" spans="1:8">
      <c r="A327" s="61" t="s">
        <v>366</v>
      </c>
      <c r="B327" s="63">
        <v>46092</v>
      </c>
      <c r="C327" s="27" t="s">
        <v>779</v>
      </c>
      <c r="D327" s="65" t="s">
        <v>367</v>
      </c>
      <c r="E327" s="67">
        <v>280000</v>
      </c>
      <c r="F327" s="30">
        <f t="shared" si="2"/>
        <v>2.5</v>
      </c>
      <c r="G327" s="27" t="s">
        <v>779</v>
      </c>
      <c r="H327" s="57" t="s">
        <v>8</v>
      </c>
    </row>
    <row r="328" spans="1:8">
      <c r="A328" s="62" t="s">
        <v>368</v>
      </c>
      <c r="B328" s="64">
        <v>46092</v>
      </c>
      <c r="C328" s="27" t="s">
        <v>779</v>
      </c>
      <c r="D328" s="66" t="s">
        <v>365</v>
      </c>
      <c r="E328" s="68">
        <v>70000</v>
      </c>
      <c r="F328" s="70">
        <f t="shared" si="2"/>
        <v>2</v>
      </c>
      <c r="G328" s="27" t="s">
        <v>779</v>
      </c>
      <c r="H328" s="71" t="s">
        <v>8</v>
      </c>
    </row>
    <row r="329" spans="1:8">
      <c r="A329" s="61" t="s">
        <v>369</v>
      </c>
      <c r="B329" s="63">
        <v>46093</v>
      </c>
      <c r="C329" s="27" t="s">
        <v>779</v>
      </c>
      <c r="D329" s="65" t="s">
        <v>370</v>
      </c>
      <c r="E329" s="67">
        <v>180600</v>
      </c>
      <c r="F329" s="30">
        <f t="shared" si="2"/>
        <v>2.5</v>
      </c>
      <c r="G329" s="27" t="s">
        <v>779</v>
      </c>
      <c r="H329" s="57" t="s">
        <v>8</v>
      </c>
    </row>
    <row r="330" spans="1:8">
      <c r="A330" s="62" t="s">
        <v>371</v>
      </c>
      <c r="B330" s="64">
        <v>46093</v>
      </c>
      <c r="C330" s="27" t="s">
        <v>779</v>
      </c>
      <c r="D330" s="66" t="s">
        <v>339</v>
      </c>
      <c r="E330" s="68">
        <v>237000</v>
      </c>
      <c r="F330" s="70">
        <f t="shared" ref="F330:F393" si="3">IF(E330&lt;=50000,1.5,IF(E330&lt;=100000,2,2.5))</f>
        <v>2.5</v>
      </c>
      <c r="G330" s="27" t="s">
        <v>779</v>
      </c>
      <c r="H330" s="71" t="s">
        <v>8</v>
      </c>
    </row>
    <row r="331" spans="1:8">
      <c r="A331" s="61" t="s">
        <v>372</v>
      </c>
      <c r="B331" s="63">
        <v>46092</v>
      </c>
      <c r="C331" s="27" t="s">
        <v>779</v>
      </c>
      <c r="D331" s="65" t="s">
        <v>373</v>
      </c>
      <c r="E331" s="67">
        <v>127000</v>
      </c>
      <c r="F331" s="30">
        <f t="shared" si="3"/>
        <v>2.5</v>
      </c>
      <c r="G331" s="27" t="s">
        <v>779</v>
      </c>
      <c r="H331" s="57" t="s">
        <v>8</v>
      </c>
    </row>
    <row r="332" spans="1:8">
      <c r="A332" s="62" t="s">
        <v>374</v>
      </c>
      <c r="B332" s="64">
        <v>46099</v>
      </c>
      <c r="C332" s="27" t="s">
        <v>779</v>
      </c>
      <c r="D332" s="66" t="s">
        <v>375</v>
      </c>
      <c r="E332" s="68">
        <v>50000</v>
      </c>
      <c r="F332" s="70">
        <f t="shared" si="3"/>
        <v>1.5</v>
      </c>
      <c r="G332" s="27" t="s">
        <v>779</v>
      </c>
      <c r="H332" s="71" t="s">
        <v>8</v>
      </c>
    </row>
    <row r="333" spans="1:8">
      <c r="A333" s="61" t="s">
        <v>376</v>
      </c>
      <c r="B333" s="63">
        <v>46101</v>
      </c>
      <c r="C333" s="27" t="s">
        <v>779</v>
      </c>
      <c r="D333" s="65" t="s">
        <v>377</v>
      </c>
      <c r="E333" s="67">
        <v>140000</v>
      </c>
      <c r="F333" s="30">
        <f t="shared" si="3"/>
        <v>2.5</v>
      </c>
      <c r="G333" s="27" t="s">
        <v>779</v>
      </c>
      <c r="H333" s="57" t="s">
        <v>8</v>
      </c>
    </row>
    <row r="334" spans="1:8">
      <c r="A334" s="62" t="s">
        <v>378</v>
      </c>
      <c r="B334" s="64">
        <v>46101</v>
      </c>
      <c r="C334" s="27" t="s">
        <v>779</v>
      </c>
      <c r="D334" s="66" t="s">
        <v>379</v>
      </c>
      <c r="E334" s="68">
        <v>155000</v>
      </c>
      <c r="F334" s="70">
        <f t="shared" si="3"/>
        <v>2.5</v>
      </c>
      <c r="G334" s="27" t="s">
        <v>779</v>
      </c>
      <c r="H334" s="71" t="s">
        <v>8</v>
      </c>
    </row>
    <row r="335" spans="1:8">
      <c r="A335" s="61" t="s">
        <v>380</v>
      </c>
      <c r="B335" s="63">
        <v>46102</v>
      </c>
      <c r="C335" s="27" t="s">
        <v>779</v>
      </c>
      <c r="D335" s="65" t="s">
        <v>295</v>
      </c>
      <c r="E335" s="67">
        <v>30000</v>
      </c>
      <c r="F335" s="30">
        <f t="shared" si="3"/>
        <v>1.5</v>
      </c>
      <c r="G335" s="27" t="s">
        <v>779</v>
      </c>
      <c r="H335" s="57" t="s">
        <v>8</v>
      </c>
    </row>
    <row r="336" spans="1:8">
      <c r="A336" s="62" t="s">
        <v>381</v>
      </c>
      <c r="B336" s="64">
        <v>46102</v>
      </c>
      <c r="C336" s="27" t="s">
        <v>779</v>
      </c>
      <c r="D336" s="66" t="s">
        <v>382</v>
      </c>
      <c r="E336" s="68">
        <v>200000</v>
      </c>
      <c r="F336" s="70">
        <f t="shared" si="3"/>
        <v>2.5</v>
      </c>
      <c r="G336" s="27" t="s">
        <v>779</v>
      </c>
      <c r="H336" s="71" t="s">
        <v>8</v>
      </c>
    </row>
    <row r="337" spans="1:8">
      <c r="A337" s="61" t="s">
        <v>383</v>
      </c>
      <c r="B337" s="63">
        <v>46104</v>
      </c>
      <c r="C337" s="27" t="s">
        <v>779</v>
      </c>
      <c r="D337" s="65" t="s">
        <v>293</v>
      </c>
      <c r="E337" s="67">
        <v>35000</v>
      </c>
      <c r="F337" s="30">
        <f t="shared" si="3"/>
        <v>1.5</v>
      </c>
      <c r="G337" s="27" t="s">
        <v>779</v>
      </c>
      <c r="H337" s="57" t="s">
        <v>8</v>
      </c>
    </row>
    <row r="338" spans="1:8">
      <c r="A338" s="62" t="s">
        <v>384</v>
      </c>
      <c r="B338" s="64">
        <v>46104</v>
      </c>
      <c r="C338" s="27" t="s">
        <v>779</v>
      </c>
      <c r="D338" s="66" t="s">
        <v>385</v>
      </c>
      <c r="E338" s="68">
        <v>159150</v>
      </c>
      <c r="F338" s="70">
        <f t="shared" si="3"/>
        <v>2.5</v>
      </c>
      <c r="G338" s="27" t="s">
        <v>779</v>
      </c>
      <c r="H338" s="71" t="s">
        <v>8</v>
      </c>
    </row>
    <row r="339" spans="1:8">
      <c r="A339" s="61" t="s">
        <v>386</v>
      </c>
      <c r="B339" s="63">
        <v>46104</v>
      </c>
      <c r="C339" s="27" t="s">
        <v>779</v>
      </c>
      <c r="D339" s="65" t="s">
        <v>387</v>
      </c>
      <c r="E339" s="67">
        <v>30000</v>
      </c>
      <c r="F339" s="30">
        <f t="shared" si="3"/>
        <v>1.5</v>
      </c>
      <c r="G339" s="27" t="s">
        <v>779</v>
      </c>
      <c r="H339" s="57" t="s">
        <v>8</v>
      </c>
    </row>
    <row r="340" spans="1:8">
      <c r="A340" s="62" t="s">
        <v>388</v>
      </c>
      <c r="B340" s="64">
        <v>46106</v>
      </c>
      <c r="C340" s="27" t="s">
        <v>779</v>
      </c>
      <c r="D340" s="66" t="s">
        <v>389</v>
      </c>
      <c r="E340" s="68">
        <v>120000</v>
      </c>
      <c r="F340" s="70">
        <f t="shared" si="3"/>
        <v>2.5</v>
      </c>
      <c r="G340" s="27" t="s">
        <v>779</v>
      </c>
      <c r="H340" s="71" t="s">
        <v>8</v>
      </c>
    </row>
    <row r="341" spans="1:8">
      <c r="A341" s="61" t="s">
        <v>390</v>
      </c>
      <c r="B341" s="63">
        <v>46107</v>
      </c>
      <c r="C341" s="27" t="s">
        <v>779</v>
      </c>
      <c r="D341" s="65" t="s">
        <v>391</v>
      </c>
      <c r="E341" s="67">
        <v>30000</v>
      </c>
      <c r="F341" s="30">
        <f t="shared" si="3"/>
        <v>1.5</v>
      </c>
      <c r="G341" s="27" t="s">
        <v>779</v>
      </c>
      <c r="H341" s="57" t="s">
        <v>8</v>
      </c>
    </row>
    <row r="342" spans="1:8">
      <c r="A342" s="62" t="s">
        <v>392</v>
      </c>
      <c r="B342" s="64">
        <v>46107</v>
      </c>
      <c r="C342" s="27" t="s">
        <v>779</v>
      </c>
      <c r="D342" s="66" t="s">
        <v>393</v>
      </c>
      <c r="E342" s="68">
        <v>122300</v>
      </c>
      <c r="F342" s="70">
        <f t="shared" si="3"/>
        <v>2.5</v>
      </c>
      <c r="G342" s="27" t="s">
        <v>779</v>
      </c>
      <c r="H342" s="71" t="s">
        <v>8</v>
      </c>
    </row>
    <row r="343" spans="1:8">
      <c r="A343" s="61" t="s">
        <v>394</v>
      </c>
      <c r="B343" s="63">
        <v>46112</v>
      </c>
      <c r="C343" s="27" t="s">
        <v>779</v>
      </c>
      <c r="D343" s="65" t="s">
        <v>395</v>
      </c>
      <c r="E343" s="67">
        <v>250000</v>
      </c>
      <c r="F343" s="30">
        <f t="shared" si="3"/>
        <v>2.5</v>
      </c>
      <c r="G343" s="27" t="s">
        <v>779</v>
      </c>
      <c r="H343" s="57" t="s">
        <v>8</v>
      </c>
    </row>
    <row r="344" spans="1:8">
      <c r="A344" s="62" t="s">
        <v>396</v>
      </c>
      <c r="B344" s="64">
        <v>46095</v>
      </c>
      <c r="C344" s="27" t="s">
        <v>779</v>
      </c>
      <c r="D344" s="66" t="s">
        <v>71</v>
      </c>
      <c r="E344" s="68">
        <v>92800</v>
      </c>
      <c r="F344" s="70">
        <f t="shared" si="3"/>
        <v>2</v>
      </c>
      <c r="G344" s="27" t="s">
        <v>779</v>
      </c>
      <c r="H344" s="71" t="s">
        <v>8</v>
      </c>
    </row>
    <row r="345" spans="1:8">
      <c r="A345" s="61" t="s">
        <v>397</v>
      </c>
      <c r="B345" s="63">
        <v>46113</v>
      </c>
      <c r="C345" s="27" t="s">
        <v>779</v>
      </c>
      <c r="D345" s="65" t="s">
        <v>398</v>
      </c>
      <c r="E345" s="67">
        <v>50000</v>
      </c>
      <c r="F345" s="30">
        <f t="shared" si="3"/>
        <v>1.5</v>
      </c>
      <c r="G345" s="27" t="s">
        <v>779</v>
      </c>
      <c r="H345" s="57" t="s">
        <v>8</v>
      </c>
    </row>
    <row r="346" spans="1:8">
      <c r="A346" s="62" t="s">
        <v>399</v>
      </c>
      <c r="B346" s="64">
        <v>46113</v>
      </c>
      <c r="C346" s="27" t="s">
        <v>779</v>
      </c>
      <c r="D346" s="66" t="s">
        <v>400</v>
      </c>
      <c r="E346" s="68">
        <v>57000</v>
      </c>
      <c r="F346" s="70">
        <f t="shared" si="3"/>
        <v>2</v>
      </c>
      <c r="G346" s="27" t="s">
        <v>779</v>
      </c>
      <c r="H346" s="71" t="s">
        <v>8</v>
      </c>
    </row>
    <row r="347" spans="1:8">
      <c r="A347" s="61" t="s">
        <v>401</v>
      </c>
      <c r="B347" s="63">
        <v>46114</v>
      </c>
      <c r="C347" s="27" t="s">
        <v>779</v>
      </c>
      <c r="D347" s="65" t="s">
        <v>402</v>
      </c>
      <c r="E347" s="67">
        <v>50000</v>
      </c>
      <c r="F347" s="30">
        <f t="shared" si="3"/>
        <v>1.5</v>
      </c>
      <c r="G347" s="27" t="s">
        <v>779</v>
      </c>
      <c r="H347" s="57" t="s">
        <v>8</v>
      </c>
    </row>
    <row r="348" spans="1:8">
      <c r="A348" s="62" t="s">
        <v>403</v>
      </c>
      <c r="B348" s="64">
        <v>46114</v>
      </c>
      <c r="C348" s="27" t="s">
        <v>779</v>
      </c>
      <c r="D348" s="66" t="s">
        <v>343</v>
      </c>
      <c r="E348" s="68">
        <v>110000</v>
      </c>
      <c r="F348" s="70">
        <f t="shared" si="3"/>
        <v>2.5</v>
      </c>
      <c r="G348" s="27" t="s">
        <v>779</v>
      </c>
      <c r="H348" s="71" t="s">
        <v>8</v>
      </c>
    </row>
    <row r="349" spans="1:8">
      <c r="A349" s="61" t="s">
        <v>404</v>
      </c>
      <c r="B349" s="63">
        <v>46114</v>
      </c>
      <c r="C349" s="27" t="s">
        <v>779</v>
      </c>
      <c r="D349" s="65" t="s">
        <v>405</v>
      </c>
      <c r="E349" s="67">
        <v>87000</v>
      </c>
      <c r="F349" s="30">
        <f t="shared" si="3"/>
        <v>2</v>
      </c>
      <c r="G349" s="27" t="s">
        <v>779</v>
      </c>
      <c r="H349" s="57" t="s">
        <v>8</v>
      </c>
    </row>
    <row r="350" spans="1:8">
      <c r="A350" s="62" t="s">
        <v>406</v>
      </c>
      <c r="B350" s="64">
        <v>46115</v>
      </c>
      <c r="C350" s="27" t="s">
        <v>779</v>
      </c>
      <c r="D350" s="66" t="s">
        <v>233</v>
      </c>
      <c r="E350" s="68">
        <v>20000</v>
      </c>
      <c r="F350" s="70">
        <f t="shared" si="3"/>
        <v>1.5</v>
      </c>
      <c r="G350" s="27" t="s">
        <v>779</v>
      </c>
      <c r="H350" s="71" t="s">
        <v>8</v>
      </c>
    </row>
    <row r="351" spans="1:8">
      <c r="A351" s="61" t="s">
        <v>407</v>
      </c>
      <c r="B351" s="63">
        <v>46115</v>
      </c>
      <c r="C351" s="27" t="s">
        <v>779</v>
      </c>
      <c r="D351" s="65" t="s">
        <v>408</v>
      </c>
      <c r="E351" s="67">
        <v>35000</v>
      </c>
      <c r="F351" s="30">
        <f t="shared" si="3"/>
        <v>1.5</v>
      </c>
      <c r="G351" s="27" t="s">
        <v>779</v>
      </c>
      <c r="H351" s="57" t="s">
        <v>8</v>
      </c>
    </row>
    <row r="352" spans="1:8">
      <c r="A352" s="62" t="s">
        <v>409</v>
      </c>
      <c r="B352" s="64">
        <v>46116</v>
      </c>
      <c r="C352" s="27" t="s">
        <v>779</v>
      </c>
      <c r="D352" s="66" t="s">
        <v>410</v>
      </c>
      <c r="E352" s="68">
        <v>55000</v>
      </c>
      <c r="F352" s="70">
        <f t="shared" si="3"/>
        <v>2</v>
      </c>
      <c r="G352" s="27" t="s">
        <v>779</v>
      </c>
      <c r="H352" s="71" t="s">
        <v>8</v>
      </c>
    </row>
    <row r="353" spans="1:8">
      <c r="A353" s="61" t="s">
        <v>411</v>
      </c>
      <c r="B353" s="63">
        <v>46112</v>
      </c>
      <c r="C353" s="27" t="s">
        <v>779</v>
      </c>
      <c r="D353" s="65" t="s">
        <v>412</v>
      </c>
      <c r="E353" s="67">
        <v>103800</v>
      </c>
      <c r="F353" s="30">
        <f t="shared" si="3"/>
        <v>2.5</v>
      </c>
      <c r="G353" s="27" t="s">
        <v>779</v>
      </c>
      <c r="H353" s="57" t="s">
        <v>8</v>
      </c>
    </row>
    <row r="354" spans="1:8">
      <c r="A354" s="62" t="s">
        <v>413</v>
      </c>
      <c r="B354" s="64">
        <v>46128</v>
      </c>
      <c r="C354" s="27" t="s">
        <v>779</v>
      </c>
      <c r="D354" s="66" t="s">
        <v>414</v>
      </c>
      <c r="E354" s="68">
        <v>30000</v>
      </c>
      <c r="F354" s="70">
        <f t="shared" si="3"/>
        <v>1.5</v>
      </c>
      <c r="G354" s="27" t="s">
        <v>779</v>
      </c>
      <c r="H354" s="71" t="s">
        <v>8</v>
      </c>
    </row>
    <row r="355" spans="1:8">
      <c r="A355" s="61" t="s">
        <v>415</v>
      </c>
      <c r="B355" s="63">
        <v>46129</v>
      </c>
      <c r="C355" s="27" t="s">
        <v>779</v>
      </c>
      <c r="D355" s="65" t="s">
        <v>416</v>
      </c>
      <c r="E355" s="67">
        <v>50000</v>
      </c>
      <c r="F355" s="30">
        <f t="shared" si="3"/>
        <v>1.5</v>
      </c>
      <c r="G355" s="27" t="s">
        <v>779</v>
      </c>
      <c r="H355" s="57" t="s">
        <v>8</v>
      </c>
    </row>
    <row r="356" spans="1:8">
      <c r="A356" s="62" t="s">
        <v>417</v>
      </c>
      <c r="B356" s="64">
        <v>46129</v>
      </c>
      <c r="C356" s="27" t="s">
        <v>779</v>
      </c>
      <c r="D356" s="66" t="s">
        <v>418</v>
      </c>
      <c r="E356" s="68">
        <v>30000</v>
      </c>
      <c r="F356" s="70">
        <f t="shared" si="3"/>
        <v>1.5</v>
      </c>
      <c r="G356" s="27" t="s">
        <v>779</v>
      </c>
      <c r="H356" s="71" t="s">
        <v>8</v>
      </c>
    </row>
    <row r="357" spans="1:8">
      <c r="A357" s="61" t="s">
        <v>419</v>
      </c>
      <c r="B357" s="63">
        <v>46129</v>
      </c>
      <c r="C357" s="27" t="s">
        <v>779</v>
      </c>
      <c r="D357" s="65" t="s">
        <v>284</v>
      </c>
      <c r="E357" s="67">
        <v>20000</v>
      </c>
      <c r="F357" s="30">
        <f t="shared" si="3"/>
        <v>1.5</v>
      </c>
      <c r="G357" s="27" t="s">
        <v>779</v>
      </c>
      <c r="H357" s="57" t="s">
        <v>8</v>
      </c>
    </row>
    <row r="358" spans="1:8">
      <c r="A358" s="62" t="s">
        <v>420</v>
      </c>
      <c r="B358" s="64">
        <v>46130</v>
      </c>
      <c r="C358" s="27" t="s">
        <v>779</v>
      </c>
      <c r="D358" s="66" t="s">
        <v>421</v>
      </c>
      <c r="E358" s="68">
        <v>65000</v>
      </c>
      <c r="F358" s="70">
        <f t="shared" si="3"/>
        <v>2</v>
      </c>
      <c r="G358" s="27" t="s">
        <v>779</v>
      </c>
      <c r="H358" s="71" t="s">
        <v>8</v>
      </c>
    </row>
    <row r="359" spans="1:8">
      <c r="A359" s="61" t="s">
        <v>422</v>
      </c>
      <c r="B359" s="63">
        <v>46132</v>
      </c>
      <c r="C359" s="27" t="s">
        <v>779</v>
      </c>
      <c r="D359" s="65" t="s">
        <v>423</v>
      </c>
      <c r="E359" s="67">
        <v>30000</v>
      </c>
      <c r="F359" s="30">
        <f t="shared" si="3"/>
        <v>1.5</v>
      </c>
      <c r="G359" s="27" t="s">
        <v>779</v>
      </c>
      <c r="H359" s="57" t="s">
        <v>8</v>
      </c>
    </row>
    <row r="360" spans="1:8">
      <c r="A360" s="62" t="s">
        <v>424</v>
      </c>
      <c r="B360" s="64">
        <v>46132</v>
      </c>
      <c r="C360" s="27" t="s">
        <v>779</v>
      </c>
      <c r="D360" s="66" t="s">
        <v>425</v>
      </c>
      <c r="E360" s="68">
        <v>35000</v>
      </c>
      <c r="F360" s="70">
        <f t="shared" si="3"/>
        <v>1.5</v>
      </c>
      <c r="G360" s="27" t="s">
        <v>779</v>
      </c>
      <c r="H360" s="71" t="s">
        <v>8</v>
      </c>
    </row>
    <row r="361" spans="1:8">
      <c r="A361" s="61" t="s">
        <v>426</v>
      </c>
      <c r="B361" s="63">
        <v>46132</v>
      </c>
      <c r="C361" s="27" t="s">
        <v>779</v>
      </c>
      <c r="D361" s="65" t="s">
        <v>427</v>
      </c>
      <c r="E361" s="67">
        <v>20000</v>
      </c>
      <c r="F361" s="30">
        <f t="shared" si="3"/>
        <v>1.5</v>
      </c>
      <c r="G361" s="27" t="s">
        <v>779</v>
      </c>
      <c r="H361" s="57" t="s">
        <v>8</v>
      </c>
    </row>
    <row r="362" spans="1:8">
      <c r="A362" s="62" t="s">
        <v>428</v>
      </c>
      <c r="B362" s="64">
        <v>46132</v>
      </c>
      <c r="C362" s="27" t="s">
        <v>779</v>
      </c>
      <c r="D362" s="66" t="s">
        <v>429</v>
      </c>
      <c r="E362" s="68">
        <v>30000</v>
      </c>
      <c r="F362" s="70">
        <f t="shared" si="3"/>
        <v>1.5</v>
      </c>
      <c r="G362" s="27" t="s">
        <v>779</v>
      </c>
      <c r="H362" s="71" t="s">
        <v>8</v>
      </c>
    </row>
    <row r="363" spans="1:8">
      <c r="A363" s="61" t="s">
        <v>430</v>
      </c>
      <c r="B363" s="63">
        <v>46132</v>
      </c>
      <c r="C363" s="27" t="s">
        <v>779</v>
      </c>
      <c r="D363" s="65" t="s">
        <v>431</v>
      </c>
      <c r="E363" s="67">
        <v>36000</v>
      </c>
      <c r="F363" s="30">
        <f t="shared" si="3"/>
        <v>1.5</v>
      </c>
      <c r="G363" s="27" t="s">
        <v>779</v>
      </c>
      <c r="H363" s="57" t="s">
        <v>8</v>
      </c>
    </row>
    <row r="364" spans="1:8">
      <c r="A364" s="62" t="s">
        <v>432</v>
      </c>
      <c r="B364" s="64">
        <v>46132</v>
      </c>
      <c r="C364" s="27" t="s">
        <v>779</v>
      </c>
      <c r="D364" s="66" t="s">
        <v>135</v>
      </c>
      <c r="E364" s="68">
        <v>80000</v>
      </c>
      <c r="F364" s="70">
        <f t="shared" si="3"/>
        <v>2</v>
      </c>
      <c r="G364" s="27" t="s">
        <v>779</v>
      </c>
      <c r="H364" s="71" t="s">
        <v>8</v>
      </c>
    </row>
    <row r="365" spans="1:8">
      <c r="A365" s="61" t="s">
        <v>433</v>
      </c>
      <c r="B365" s="63">
        <v>46132</v>
      </c>
      <c r="C365" s="27" t="s">
        <v>779</v>
      </c>
      <c r="D365" s="65" t="s">
        <v>434</v>
      </c>
      <c r="E365" s="67">
        <v>100000</v>
      </c>
      <c r="F365" s="30">
        <f t="shared" si="3"/>
        <v>2</v>
      </c>
      <c r="G365" s="27" t="s">
        <v>779</v>
      </c>
      <c r="H365" s="57" t="s">
        <v>8</v>
      </c>
    </row>
    <row r="366" spans="1:8">
      <c r="A366" s="62" t="s">
        <v>435</v>
      </c>
      <c r="B366" s="64">
        <v>46133</v>
      </c>
      <c r="C366" s="27" t="s">
        <v>779</v>
      </c>
      <c r="D366" s="66" t="s">
        <v>436</v>
      </c>
      <c r="E366" s="68">
        <v>25000</v>
      </c>
      <c r="F366" s="70">
        <f t="shared" si="3"/>
        <v>1.5</v>
      </c>
      <c r="G366" s="27" t="s">
        <v>779</v>
      </c>
      <c r="H366" s="71" t="s">
        <v>8</v>
      </c>
    </row>
    <row r="367" spans="1:8">
      <c r="A367" s="61" t="s">
        <v>437</v>
      </c>
      <c r="B367" s="63">
        <v>46133</v>
      </c>
      <c r="C367" s="27" t="s">
        <v>779</v>
      </c>
      <c r="D367" s="65" t="s">
        <v>438</v>
      </c>
      <c r="E367" s="67">
        <v>36000</v>
      </c>
      <c r="F367" s="30">
        <f t="shared" si="3"/>
        <v>1.5</v>
      </c>
      <c r="G367" s="27" t="s">
        <v>779</v>
      </c>
      <c r="H367" s="57" t="s">
        <v>8</v>
      </c>
    </row>
    <row r="368" spans="1:8">
      <c r="A368" s="62" t="s">
        <v>439</v>
      </c>
      <c r="B368" s="64">
        <v>46136</v>
      </c>
      <c r="C368" s="27" t="s">
        <v>779</v>
      </c>
      <c r="D368" s="66" t="s">
        <v>335</v>
      </c>
      <c r="E368" s="68">
        <v>200000</v>
      </c>
      <c r="F368" s="70">
        <f t="shared" si="3"/>
        <v>2.5</v>
      </c>
      <c r="G368" s="27" t="s">
        <v>779</v>
      </c>
      <c r="H368" s="71" t="s">
        <v>8</v>
      </c>
    </row>
    <row r="369" spans="1:8">
      <c r="A369" s="61" t="s">
        <v>440</v>
      </c>
      <c r="B369" s="63">
        <v>46137</v>
      </c>
      <c r="C369" s="27" t="s">
        <v>779</v>
      </c>
      <c r="D369" s="65" t="s">
        <v>441</v>
      </c>
      <c r="E369" s="67">
        <v>110000</v>
      </c>
      <c r="F369" s="30">
        <f t="shared" si="3"/>
        <v>2.5</v>
      </c>
      <c r="G369" s="27" t="s">
        <v>779</v>
      </c>
      <c r="H369" s="57" t="s">
        <v>8</v>
      </c>
    </row>
    <row r="370" spans="1:8">
      <c r="A370" s="62" t="s">
        <v>442</v>
      </c>
      <c r="B370" s="64">
        <v>46141</v>
      </c>
      <c r="C370" s="27" t="s">
        <v>779</v>
      </c>
      <c r="D370" s="66" t="s">
        <v>443</v>
      </c>
      <c r="E370" s="68">
        <v>408000</v>
      </c>
      <c r="F370" s="70">
        <f t="shared" si="3"/>
        <v>2.5</v>
      </c>
      <c r="G370" s="27" t="s">
        <v>779</v>
      </c>
      <c r="H370" s="71" t="s">
        <v>8</v>
      </c>
    </row>
    <row r="371" spans="1:8">
      <c r="A371" s="61" t="s">
        <v>444</v>
      </c>
      <c r="B371" s="63">
        <v>46142</v>
      </c>
      <c r="C371" s="27" t="s">
        <v>779</v>
      </c>
      <c r="D371" s="65" t="s">
        <v>445</v>
      </c>
      <c r="E371" s="67">
        <v>200000</v>
      </c>
      <c r="F371" s="30">
        <f t="shared" si="3"/>
        <v>2.5</v>
      </c>
      <c r="G371" s="27" t="s">
        <v>779</v>
      </c>
      <c r="H371" s="57" t="s">
        <v>8</v>
      </c>
    </row>
    <row r="372" spans="1:8">
      <c r="A372" s="62" t="s">
        <v>446</v>
      </c>
      <c r="B372" s="64">
        <v>46142</v>
      </c>
      <c r="C372" s="27" t="s">
        <v>779</v>
      </c>
      <c r="D372" s="66" t="s">
        <v>447</v>
      </c>
      <c r="E372" s="68">
        <v>250000</v>
      </c>
      <c r="F372" s="70">
        <f t="shared" si="3"/>
        <v>2.5</v>
      </c>
      <c r="G372" s="27" t="s">
        <v>779</v>
      </c>
      <c r="H372" s="71" t="s">
        <v>8</v>
      </c>
    </row>
    <row r="373" spans="1:8">
      <c r="A373" s="61" t="s">
        <v>448</v>
      </c>
      <c r="B373" s="63">
        <v>46142</v>
      </c>
      <c r="C373" s="27" t="s">
        <v>779</v>
      </c>
      <c r="D373" s="65" t="s">
        <v>449</v>
      </c>
      <c r="E373" s="67">
        <v>150000</v>
      </c>
      <c r="F373" s="30">
        <f t="shared" si="3"/>
        <v>2.5</v>
      </c>
      <c r="G373" s="27" t="s">
        <v>779</v>
      </c>
      <c r="H373" s="57" t="s">
        <v>8</v>
      </c>
    </row>
    <row r="374" spans="1:8">
      <c r="A374" s="62" t="s">
        <v>450</v>
      </c>
      <c r="B374" s="64">
        <v>46132</v>
      </c>
      <c r="C374" s="27" t="s">
        <v>779</v>
      </c>
      <c r="D374" s="66" t="s">
        <v>451</v>
      </c>
      <c r="E374" s="68">
        <v>92200</v>
      </c>
      <c r="F374" s="70">
        <f t="shared" si="3"/>
        <v>2</v>
      </c>
      <c r="G374" s="27" t="s">
        <v>779</v>
      </c>
      <c r="H374" s="71" t="s">
        <v>8</v>
      </c>
    </row>
    <row r="375" spans="1:8">
      <c r="A375" s="61" t="s">
        <v>452</v>
      </c>
      <c r="B375" s="63">
        <v>46143</v>
      </c>
      <c r="C375" s="27" t="s">
        <v>779</v>
      </c>
      <c r="D375" s="65" t="s">
        <v>453</v>
      </c>
      <c r="E375" s="67">
        <v>70000</v>
      </c>
      <c r="F375" s="30">
        <f t="shared" si="3"/>
        <v>2</v>
      </c>
      <c r="G375" s="27" t="s">
        <v>779</v>
      </c>
      <c r="H375" s="57" t="s">
        <v>8</v>
      </c>
    </row>
    <row r="376" spans="1:8">
      <c r="A376" s="62" t="s">
        <v>454</v>
      </c>
      <c r="B376" s="64">
        <v>46144</v>
      </c>
      <c r="C376" s="27" t="s">
        <v>779</v>
      </c>
      <c r="D376" s="66" t="s">
        <v>385</v>
      </c>
      <c r="E376" s="68">
        <v>50000</v>
      </c>
      <c r="F376" s="70">
        <f t="shared" si="3"/>
        <v>1.5</v>
      </c>
      <c r="G376" s="27" t="s">
        <v>779</v>
      </c>
      <c r="H376" s="71" t="s">
        <v>8</v>
      </c>
    </row>
    <row r="377" spans="1:8">
      <c r="A377" s="61" t="s">
        <v>455</v>
      </c>
      <c r="B377" s="63">
        <v>46146</v>
      </c>
      <c r="C377" s="27" t="s">
        <v>779</v>
      </c>
      <c r="D377" s="65" t="s">
        <v>456</v>
      </c>
      <c r="E377" s="67">
        <v>85000</v>
      </c>
      <c r="F377" s="30">
        <f t="shared" si="3"/>
        <v>2</v>
      </c>
      <c r="G377" s="27" t="s">
        <v>779</v>
      </c>
      <c r="H377" s="57" t="s">
        <v>8</v>
      </c>
    </row>
    <row r="378" spans="1:8">
      <c r="A378" s="62" t="s">
        <v>457</v>
      </c>
      <c r="B378" s="64">
        <v>46146</v>
      </c>
      <c r="C378" s="27" t="s">
        <v>779</v>
      </c>
      <c r="D378" s="66" t="s">
        <v>293</v>
      </c>
      <c r="E378" s="68">
        <v>150000</v>
      </c>
      <c r="F378" s="70">
        <f t="shared" si="3"/>
        <v>2.5</v>
      </c>
      <c r="G378" s="27" t="s">
        <v>779</v>
      </c>
      <c r="H378" s="71" t="s">
        <v>8</v>
      </c>
    </row>
    <row r="379" spans="1:8">
      <c r="A379" s="61" t="s">
        <v>458</v>
      </c>
      <c r="B379" s="63">
        <v>46147</v>
      </c>
      <c r="C379" s="27" t="s">
        <v>779</v>
      </c>
      <c r="D379" s="65" t="s">
        <v>459</v>
      </c>
      <c r="E379" s="67">
        <v>320000</v>
      </c>
      <c r="F379" s="30">
        <f t="shared" si="3"/>
        <v>2.5</v>
      </c>
      <c r="G379" s="27" t="s">
        <v>779</v>
      </c>
      <c r="H379" s="57" t="s">
        <v>8</v>
      </c>
    </row>
    <row r="380" spans="1:8">
      <c r="A380" s="62" t="s">
        <v>460</v>
      </c>
      <c r="B380" s="64">
        <v>46148</v>
      </c>
      <c r="C380" s="27" t="s">
        <v>779</v>
      </c>
      <c r="D380" s="66" t="s">
        <v>461</v>
      </c>
      <c r="E380" s="68">
        <v>85000</v>
      </c>
      <c r="F380" s="70">
        <f t="shared" si="3"/>
        <v>2</v>
      </c>
      <c r="G380" s="27" t="s">
        <v>779</v>
      </c>
      <c r="H380" s="71" t="s">
        <v>8</v>
      </c>
    </row>
    <row r="381" spans="1:8">
      <c r="A381" s="61" t="s">
        <v>462</v>
      </c>
      <c r="B381" s="63">
        <v>46149</v>
      </c>
      <c r="C381" s="27" t="s">
        <v>779</v>
      </c>
      <c r="D381" s="65" t="s">
        <v>463</v>
      </c>
      <c r="E381" s="67">
        <v>80000</v>
      </c>
      <c r="F381" s="30">
        <f t="shared" si="3"/>
        <v>2</v>
      </c>
      <c r="G381" s="27" t="s">
        <v>779</v>
      </c>
      <c r="H381" s="57" t="s">
        <v>8</v>
      </c>
    </row>
    <row r="382" spans="1:8">
      <c r="A382" s="62" t="s">
        <v>464</v>
      </c>
      <c r="B382" s="64">
        <v>46149</v>
      </c>
      <c r="C382" s="27" t="s">
        <v>779</v>
      </c>
      <c r="D382" s="66" t="s">
        <v>465</v>
      </c>
      <c r="E382" s="68">
        <v>300000</v>
      </c>
      <c r="F382" s="70">
        <f t="shared" si="3"/>
        <v>2.5</v>
      </c>
      <c r="G382" s="27" t="s">
        <v>779</v>
      </c>
      <c r="H382" s="71" t="s">
        <v>8</v>
      </c>
    </row>
    <row r="383" spans="1:8">
      <c r="A383" s="61" t="s">
        <v>466</v>
      </c>
      <c r="B383" s="63">
        <v>46149</v>
      </c>
      <c r="C383" s="27" t="s">
        <v>779</v>
      </c>
      <c r="D383" s="65" t="s">
        <v>456</v>
      </c>
      <c r="E383" s="67">
        <v>45000</v>
      </c>
      <c r="F383" s="30">
        <f t="shared" si="3"/>
        <v>1.5</v>
      </c>
      <c r="G383" s="27" t="s">
        <v>779</v>
      </c>
      <c r="H383" s="57" t="s">
        <v>8</v>
      </c>
    </row>
    <row r="384" spans="1:8">
      <c r="A384" s="62" t="s">
        <v>467</v>
      </c>
      <c r="B384" s="64">
        <v>46149</v>
      </c>
      <c r="C384" s="27" t="s">
        <v>779</v>
      </c>
      <c r="D384" s="66" t="s">
        <v>468</v>
      </c>
      <c r="E384" s="68">
        <v>50000</v>
      </c>
      <c r="F384" s="70">
        <f t="shared" si="3"/>
        <v>1.5</v>
      </c>
      <c r="G384" s="27" t="s">
        <v>779</v>
      </c>
      <c r="H384" s="71" t="s">
        <v>8</v>
      </c>
    </row>
    <row r="385" spans="1:8">
      <c r="A385" s="61" t="s">
        <v>469</v>
      </c>
      <c r="B385" s="63">
        <v>46150</v>
      </c>
      <c r="C385" s="27" t="s">
        <v>779</v>
      </c>
      <c r="D385" s="65" t="s">
        <v>293</v>
      </c>
      <c r="E385" s="67">
        <v>350000</v>
      </c>
      <c r="F385" s="30">
        <f t="shared" si="3"/>
        <v>2.5</v>
      </c>
      <c r="G385" s="27" t="s">
        <v>779</v>
      </c>
      <c r="H385" s="57" t="s">
        <v>8</v>
      </c>
    </row>
    <row r="386" spans="1:8">
      <c r="A386" s="62" t="s">
        <v>470</v>
      </c>
      <c r="B386" s="64">
        <v>46151</v>
      </c>
      <c r="C386" s="27" t="s">
        <v>779</v>
      </c>
      <c r="D386" s="66" t="s">
        <v>471</v>
      </c>
      <c r="E386" s="68">
        <v>80000</v>
      </c>
      <c r="F386" s="70">
        <f t="shared" si="3"/>
        <v>2</v>
      </c>
      <c r="G386" s="27" t="s">
        <v>779</v>
      </c>
      <c r="H386" s="71" t="s">
        <v>8</v>
      </c>
    </row>
    <row r="387" spans="1:8">
      <c r="A387" s="61" t="s">
        <v>472</v>
      </c>
      <c r="B387" s="63">
        <v>46152</v>
      </c>
      <c r="C387" s="27" t="s">
        <v>779</v>
      </c>
      <c r="D387" s="65" t="s">
        <v>473</v>
      </c>
      <c r="E387" s="67">
        <v>100000</v>
      </c>
      <c r="F387" s="30">
        <f t="shared" si="3"/>
        <v>2</v>
      </c>
      <c r="G387" s="27" t="s">
        <v>779</v>
      </c>
      <c r="H387" s="57" t="s">
        <v>8</v>
      </c>
    </row>
    <row r="388" spans="1:8">
      <c r="A388" s="62" t="s">
        <v>474</v>
      </c>
      <c r="B388" s="64">
        <v>46153</v>
      </c>
      <c r="C388" s="27" t="s">
        <v>779</v>
      </c>
      <c r="D388" s="66" t="s">
        <v>475</v>
      </c>
      <c r="E388" s="68">
        <v>50000</v>
      </c>
      <c r="F388" s="70">
        <f t="shared" si="3"/>
        <v>1.5</v>
      </c>
      <c r="G388" s="27" t="s">
        <v>779</v>
      </c>
      <c r="H388" s="71" t="s">
        <v>8</v>
      </c>
    </row>
    <row r="389" spans="1:8">
      <c r="A389" s="61" t="s">
        <v>476</v>
      </c>
      <c r="B389" s="63">
        <v>46158</v>
      </c>
      <c r="C389" s="27" t="s">
        <v>779</v>
      </c>
      <c r="D389" s="65" t="s">
        <v>477</v>
      </c>
      <c r="E389" s="67">
        <v>60000</v>
      </c>
      <c r="F389" s="30">
        <f t="shared" si="3"/>
        <v>2</v>
      </c>
      <c r="G389" s="27" t="s">
        <v>779</v>
      </c>
      <c r="H389" s="57" t="s">
        <v>8</v>
      </c>
    </row>
    <row r="390" spans="1:8">
      <c r="A390" s="62" t="s">
        <v>478</v>
      </c>
      <c r="B390" s="64">
        <v>46159</v>
      </c>
      <c r="C390" s="27" t="s">
        <v>779</v>
      </c>
      <c r="D390" s="66" t="s">
        <v>479</v>
      </c>
      <c r="E390" s="68">
        <v>61700</v>
      </c>
      <c r="F390" s="70">
        <f t="shared" si="3"/>
        <v>2</v>
      </c>
      <c r="G390" s="27" t="s">
        <v>779</v>
      </c>
      <c r="H390" s="71" t="s">
        <v>8</v>
      </c>
    </row>
    <row r="391" spans="1:8">
      <c r="A391" s="61" t="s">
        <v>480</v>
      </c>
      <c r="B391" s="63">
        <v>46160</v>
      </c>
      <c r="C391" s="27" t="s">
        <v>779</v>
      </c>
      <c r="D391" s="65" t="s">
        <v>463</v>
      </c>
      <c r="E391" s="67">
        <v>70000</v>
      </c>
      <c r="F391" s="30">
        <f t="shared" si="3"/>
        <v>2</v>
      </c>
      <c r="G391" s="27" t="s">
        <v>779</v>
      </c>
      <c r="H391" s="57" t="s">
        <v>8</v>
      </c>
    </row>
    <row r="392" spans="1:8">
      <c r="A392" s="62" t="s">
        <v>481</v>
      </c>
      <c r="B392" s="64">
        <v>46160</v>
      </c>
      <c r="C392" s="27" t="s">
        <v>779</v>
      </c>
      <c r="D392" s="66" t="s">
        <v>482</v>
      </c>
      <c r="E392" s="68">
        <v>120000</v>
      </c>
      <c r="F392" s="70">
        <f t="shared" si="3"/>
        <v>2.5</v>
      </c>
      <c r="G392" s="27" t="s">
        <v>779</v>
      </c>
      <c r="H392" s="71" t="s">
        <v>8</v>
      </c>
    </row>
    <row r="393" spans="1:8">
      <c r="A393" s="61" t="s">
        <v>483</v>
      </c>
      <c r="B393" s="63">
        <v>46160</v>
      </c>
      <c r="C393" s="27" t="s">
        <v>779</v>
      </c>
      <c r="D393" s="65" t="s">
        <v>484</v>
      </c>
      <c r="E393" s="67">
        <v>20000</v>
      </c>
      <c r="F393" s="30">
        <f t="shared" si="3"/>
        <v>1.5</v>
      </c>
      <c r="G393" s="27" t="s">
        <v>779</v>
      </c>
      <c r="H393" s="57" t="s">
        <v>8</v>
      </c>
    </row>
    <row r="394" spans="1:8">
      <c r="A394" s="62" t="s">
        <v>485</v>
      </c>
      <c r="B394" s="64">
        <v>46160</v>
      </c>
      <c r="C394" s="27" t="s">
        <v>779</v>
      </c>
      <c r="D394" s="66" t="s">
        <v>486</v>
      </c>
      <c r="E394" s="68">
        <v>20000</v>
      </c>
      <c r="F394" s="70">
        <f t="shared" ref="F394:F415" si="4">IF(E394&lt;=50000,1.5,IF(E394&lt;=100000,2,2.5))</f>
        <v>1.5</v>
      </c>
      <c r="G394" s="27" t="s">
        <v>779</v>
      </c>
      <c r="H394" s="71" t="s">
        <v>8</v>
      </c>
    </row>
    <row r="395" spans="1:8">
      <c r="A395" s="61" t="s">
        <v>487</v>
      </c>
      <c r="B395" s="63">
        <v>46161</v>
      </c>
      <c r="C395" s="27" t="s">
        <v>779</v>
      </c>
      <c r="D395" s="65" t="s">
        <v>488</v>
      </c>
      <c r="E395" s="67">
        <v>55000</v>
      </c>
      <c r="F395" s="30">
        <f t="shared" si="4"/>
        <v>2</v>
      </c>
      <c r="G395" s="27" t="s">
        <v>779</v>
      </c>
      <c r="H395" s="57" t="s">
        <v>8</v>
      </c>
    </row>
    <row r="396" spans="1:8">
      <c r="A396" s="62" t="s">
        <v>489</v>
      </c>
      <c r="B396" s="64">
        <v>46161</v>
      </c>
      <c r="C396" s="27" t="s">
        <v>779</v>
      </c>
      <c r="D396" s="66" t="s">
        <v>490</v>
      </c>
      <c r="E396" s="68">
        <v>150000</v>
      </c>
      <c r="F396" s="70">
        <f t="shared" si="4"/>
        <v>2.5</v>
      </c>
      <c r="G396" s="27" t="s">
        <v>779</v>
      </c>
      <c r="H396" s="71" t="s">
        <v>8</v>
      </c>
    </row>
    <row r="397" spans="1:8">
      <c r="A397" s="61" t="s">
        <v>491</v>
      </c>
      <c r="B397" s="63">
        <v>46161</v>
      </c>
      <c r="C397" s="27" t="s">
        <v>779</v>
      </c>
      <c r="D397" s="65" t="s">
        <v>492</v>
      </c>
      <c r="E397" s="67">
        <v>50000</v>
      </c>
      <c r="F397" s="30">
        <f t="shared" si="4"/>
        <v>1.5</v>
      </c>
      <c r="G397" s="27" t="s">
        <v>779</v>
      </c>
      <c r="H397" s="57" t="s">
        <v>8</v>
      </c>
    </row>
    <row r="398" spans="1:8">
      <c r="A398" s="62" t="s">
        <v>493</v>
      </c>
      <c r="B398" s="64">
        <v>46162</v>
      </c>
      <c r="C398" s="27" t="s">
        <v>779</v>
      </c>
      <c r="D398" s="66" t="s">
        <v>494</v>
      </c>
      <c r="E398" s="68">
        <v>25000</v>
      </c>
      <c r="F398" s="70">
        <f t="shared" si="4"/>
        <v>1.5</v>
      </c>
      <c r="G398" s="27" t="s">
        <v>779</v>
      </c>
      <c r="H398" s="71" t="s">
        <v>8</v>
      </c>
    </row>
    <row r="399" spans="1:8">
      <c r="A399" s="61" t="s">
        <v>495</v>
      </c>
      <c r="B399" s="63">
        <v>46162</v>
      </c>
      <c r="C399" s="27" t="s">
        <v>779</v>
      </c>
      <c r="D399" s="65" t="s">
        <v>496</v>
      </c>
      <c r="E399" s="67">
        <v>20000</v>
      </c>
      <c r="F399" s="30">
        <f t="shared" si="4"/>
        <v>1.5</v>
      </c>
      <c r="G399" s="27" t="s">
        <v>779</v>
      </c>
      <c r="H399" s="57" t="s">
        <v>8</v>
      </c>
    </row>
    <row r="400" spans="1:8">
      <c r="A400" s="62" t="s">
        <v>497</v>
      </c>
      <c r="B400" s="64">
        <v>46162</v>
      </c>
      <c r="C400" s="27" t="s">
        <v>779</v>
      </c>
      <c r="D400" s="66" t="s">
        <v>498</v>
      </c>
      <c r="E400" s="68">
        <v>160000</v>
      </c>
      <c r="F400" s="70">
        <f t="shared" si="4"/>
        <v>2.5</v>
      </c>
      <c r="G400" s="27" t="s">
        <v>779</v>
      </c>
      <c r="H400" s="71" t="s">
        <v>8</v>
      </c>
    </row>
    <row r="401" spans="1:8">
      <c r="A401" s="61" t="s">
        <v>499</v>
      </c>
      <c r="B401" s="63">
        <v>46163</v>
      </c>
      <c r="C401" s="27" t="s">
        <v>779</v>
      </c>
      <c r="D401" s="65" t="s">
        <v>500</v>
      </c>
      <c r="E401" s="67">
        <v>25000</v>
      </c>
      <c r="F401" s="30">
        <f t="shared" si="4"/>
        <v>1.5</v>
      </c>
      <c r="G401" s="27" t="s">
        <v>779</v>
      </c>
      <c r="H401" s="57" t="s">
        <v>8</v>
      </c>
    </row>
    <row r="402" spans="1:8">
      <c r="A402" s="62" t="s">
        <v>501</v>
      </c>
      <c r="B402" s="64">
        <v>46165</v>
      </c>
      <c r="C402" s="27" t="s">
        <v>779</v>
      </c>
      <c r="D402" s="66" t="s">
        <v>502</v>
      </c>
      <c r="E402" s="68">
        <v>150000</v>
      </c>
      <c r="F402" s="70">
        <f t="shared" si="4"/>
        <v>2.5</v>
      </c>
      <c r="G402" s="27" t="s">
        <v>779</v>
      </c>
      <c r="H402" s="71" t="s">
        <v>8</v>
      </c>
    </row>
    <row r="403" spans="1:8">
      <c r="A403" s="61" t="s">
        <v>503</v>
      </c>
      <c r="B403" s="63">
        <v>46165</v>
      </c>
      <c r="C403" s="27" t="s">
        <v>779</v>
      </c>
      <c r="D403" s="65" t="s">
        <v>456</v>
      </c>
      <c r="E403" s="67">
        <v>60000</v>
      </c>
      <c r="F403" s="30">
        <f t="shared" si="4"/>
        <v>2</v>
      </c>
      <c r="G403" s="27" t="s">
        <v>779</v>
      </c>
      <c r="H403" s="57" t="s">
        <v>8</v>
      </c>
    </row>
    <row r="404" spans="1:8">
      <c r="A404" s="62" t="s">
        <v>504</v>
      </c>
      <c r="B404" s="64">
        <v>46166</v>
      </c>
      <c r="C404" s="27" t="s">
        <v>779</v>
      </c>
      <c r="D404" s="66" t="s">
        <v>505</v>
      </c>
      <c r="E404" s="68">
        <v>62000</v>
      </c>
      <c r="F404" s="70">
        <f t="shared" si="4"/>
        <v>2</v>
      </c>
      <c r="G404" s="27" t="s">
        <v>779</v>
      </c>
      <c r="H404" s="71" t="s">
        <v>8</v>
      </c>
    </row>
    <row r="405" spans="1:8">
      <c r="A405" s="61" t="s">
        <v>506</v>
      </c>
      <c r="B405" s="63">
        <v>46166</v>
      </c>
      <c r="C405" s="27" t="s">
        <v>779</v>
      </c>
      <c r="D405" s="65" t="s">
        <v>507</v>
      </c>
      <c r="E405" s="67">
        <v>35000</v>
      </c>
      <c r="F405" s="30">
        <f t="shared" si="4"/>
        <v>1.5</v>
      </c>
      <c r="G405" s="27" t="s">
        <v>779</v>
      </c>
      <c r="H405" s="57" t="s">
        <v>8</v>
      </c>
    </row>
    <row r="406" spans="1:8">
      <c r="A406" s="62" t="s">
        <v>508</v>
      </c>
      <c r="B406" s="64">
        <v>46167</v>
      </c>
      <c r="C406" s="27" t="s">
        <v>779</v>
      </c>
      <c r="D406" s="66" t="s">
        <v>21</v>
      </c>
      <c r="E406" s="68">
        <v>60000</v>
      </c>
      <c r="F406" s="70">
        <f t="shared" si="4"/>
        <v>2</v>
      </c>
      <c r="G406" s="27" t="s">
        <v>779</v>
      </c>
      <c r="H406" s="71" t="s">
        <v>8</v>
      </c>
    </row>
    <row r="407" spans="1:8">
      <c r="A407" s="61" t="s">
        <v>509</v>
      </c>
      <c r="B407" s="63">
        <v>46167</v>
      </c>
      <c r="C407" s="27" t="s">
        <v>779</v>
      </c>
      <c r="D407" s="65" t="s">
        <v>293</v>
      </c>
      <c r="E407" s="67">
        <v>500000</v>
      </c>
      <c r="F407" s="30">
        <f t="shared" si="4"/>
        <v>2.5</v>
      </c>
      <c r="G407" s="27" t="s">
        <v>779</v>
      </c>
      <c r="H407" s="57" t="s">
        <v>8</v>
      </c>
    </row>
    <row r="408" spans="1:8">
      <c r="A408" s="62" t="s">
        <v>510</v>
      </c>
      <c r="B408" s="64">
        <v>46168</v>
      </c>
      <c r="C408" s="27" t="s">
        <v>779</v>
      </c>
      <c r="D408" s="66" t="s">
        <v>511</v>
      </c>
      <c r="E408" s="68">
        <v>220000</v>
      </c>
      <c r="F408" s="70">
        <f t="shared" si="4"/>
        <v>2.5</v>
      </c>
      <c r="G408" s="27" t="s">
        <v>779</v>
      </c>
      <c r="H408" s="71" t="s">
        <v>8</v>
      </c>
    </row>
    <row r="409" spans="1:8">
      <c r="A409" s="61" t="s">
        <v>512</v>
      </c>
      <c r="B409" s="63">
        <v>46169</v>
      </c>
      <c r="C409" s="27" t="s">
        <v>779</v>
      </c>
      <c r="D409" s="65" t="s">
        <v>513</v>
      </c>
      <c r="E409" s="67">
        <v>170000</v>
      </c>
      <c r="F409" s="30">
        <f t="shared" si="4"/>
        <v>2.5</v>
      </c>
      <c r="G409" s="27" t="s">
        <v>779</v>
      </c>
      <c r="H409" s="57" t="s">
        <v>8</v>
      </c>
    </row>
    <row r="410" spans="1:8">
      <c r="A410" s="62" t="s">
        <v>514</v>
      </c>
      <c r="B410" s="64">
        <v>46170</v>
      </c>
      <c r="C410" s="27" t="s">
        <v>779</v>
      </c>
      <c r="D410" s="66" t="s">
        <v>515</v>
      </c>
      <c r="E410" s="68">
        <v>220000</v>
      </c>
      <c r="F410" s="70">
        <f t="shared" si="4"/>
        <v>2.5</v>
      </c>
      <c r="G410" s="27" t="s">
        <v>779</v>
      </c>
      <c r="H410" s="71" t="s">
        <v>8</v>
      </c>
    </row>
    <row r="411" spans="1:8">
      <c r="A411" s="61" t="s">
        <v>516</v>
      </c>
      <c r="B411" s="63">
        <v>46172</v>
      </c>
      <c r="C411" s="27" t="s">
        <v>779</v>
      </c>
      <c r="D411" s="65" t="s">
        <v>517</v>
      </c>
      <c r="E411" s="67">
        <v>70000</v>
      </c>
      <c r="F411" s="30">
        <f t="shared" si="4"/>
        <v>2</v>
      </c>
      <c r="G411" s="27" t="s">
        <v>779</v>
      </c>
      <c r="H411" s="57" t="s">
        <v>8</v>
      </c>
    </row>
    <row r="412" spans="1:8">
      <c r="A412" s="62" t="s">
        <v>518</v>
      </c>
      <c r="B412" s="64">
        <v>46172</v>
      </c>
      <c r="C412" s="27" t="s">
        <v>779</v>
      </c>
      <c r="D412" s="66" t="s">
        <v>519</v>
      </c>
      <c r="E412" s="68">
        <v>50000</v>
      </c>
      <c r="F412" s="70">
        <f t="shared" si="4"/>
        <v>1.5</v>
      </c>
      <c r="G412" s="27" t="s">
        <v>779</v>
      </c>
      <c r="H412" s="71" t="s">
        <v>8</v>
      </c>
    </row>
    <row r="413" spans="1:8">
      <c r="A413" s="61" t="s">
        <v>520</v>
      </c>
      <c r="B413" s="63">
        <v>46172</v>
      </c>
      <c r="C413" s="27" t="s">
        <v>779</v>
      </c>
      <c r="D413" s="65" t="s">
        <v>521</v>
      </c>
      <c r="E413" s="67">
        <v>100000</v>
      </c>
      <c r="F413" s="30">
        <f t="shared" si="4"/>
        <v>2</v>
      </c>
      <c r="G413" s="27" t="s">
        <v>779</v>
      </c>
      <c r="H413" s="57" t="s">
        <v>8</v>
      </c>
    </row>
    <row r="414" spans="1:8">
      <c r="A414" s="62" t="s">
        <v>522</v>
      </c>
      <c r="B414" s="64">
        <v>46174</v>
      </c>
      <c r="C414" s="27" t="s">
        <v>779</v>
      </c>
      <c r="D414" s="66" t="s">
        <v>523</v>
      </c>
      <c r="E414" s="68">
        <v>160000</v>
      </c>
      <c r="F414" s="70">
        <f t="shared" si="4"/>
        <v>2.5</v>
      </c>
      <c r="G414" s="27" t="s">
        <v>779</v>
      </c>
      <c r="H414" s="71" t="s">
        <v>8</v>
      </c>
    </row>
    <row r="415" spans="1:8">
      <c r="A415" s="61" t="s">
        <v>524</v>
      </c>
      <c r="B415" s="63">
        <v>46175</v>
      </c>
      <c r="C415" s="27" t="s">
        <v>779</v>
      </c>
      <c r="D415" s="65" t="s">
        <v>525</v>
      </c>
      <c r="E415" s="67">
        <v>200000</v>
      </c>
      <c r="F415" s="30">
        <f t="shared" si="4"/>
        <v>2.5</v>
      </c>
      <c r="G415" s="27" t="s">
        <v>779</v>
      </c>
      <c r="H415" s="57" t="s">
        <v>8</v>
      </c>
    </row>
  </sheetData>
  <sortState xmlns:xlrd2="http://schemas.microsoft.com/office/spreadsheetml/2017/richdata2" ref="A2:H136">
    <sortCondition ref="A2:A136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F0F3B-6ABF-4366-83A0-1CAD981B224F}">
  <dimension ref="A1:P49"/>
  <sheetViews>
    <sheetView tabSelected="1" topLeftCell="A39" workbookViewId="0">
      <selection activeCell="B46" sqref="B46"/>
    </sheetView>
  </sheetViews>
  <sheetFormatPr defaultRowHeight="15"/>
  <cols>
    <col min="1" max="1" width="16.140625" customWidth="1"/>
    <col min="2" max="2" width="17.140625" bestFit="1" customWidth="1"/>
    <col min="7" max="7" width="11.42578125" bestFit="1" customWidth="1"/>
    <col min="8" max="8" width="21.85546875" bestFit="1" customWidth="1"/>
  </cols>
  <sheetData>
    <row r="1" spans="1:16">
      <c r="I1" s="77" t="s">
        <v>780</v>
      </c>
      <c r="J1" s="78"/>
      <c r="K1" s="78"/>
      <c r="L1" s="78"/>
      <c r="M1" s="78"/>
      <c r="N1" s="78"/>
      <c r="O1" s="78"/>
      <c r="P1" s="78"/>
    </row>
    <row r="3" spans="1:16" ht="30" customHeight="1">
      <c r="A3" s="77" t="s">
        <v>780</v>
      </c>
      <c r="B3" s="77"/>
      <c r="C3" s="77"/>
      <c r="D3" s="77"/>
      <c r="E3" s="77"/>
      <c r="F3" s="77"/>
      <c r="G3" s="77"/>
      <c r="H3" s="77"/>
    </row>
    <row r="14" spans="1:16">
      <c r="A14" s="75" t="s">
        <v>5</v>
      </c>
      <c r="B14" t="s">
        <v>781</v>
      </c>
      <c r="G14" s="75" t="s">
        <v>5</v>
      </c>
      <c r="H14" t="s">
        <v>782</v>
      </c>
    </row>
    <row r="15" spans="1:16">
      <c r="A15" t="s">
        <v>8</v>
      </c>
      <c r="B15" s="76">
        <v>279</v>
      </c>
      <c r="G15" t="s">
        <v>8</v>
      </c>
      <c r="H15" s="76">
        <v>27414550</v>
      </c>
    </row>
    <row r="16" spans="1:16">
      <c r="A16" t="s">
        <v>535</v>
      </c>
      <c r="B16" s="76">
        <v>135</v>
      </c>
      <c r="G16" t="s">
        <v>535</v>
      </c>
      <c r="H16" s="76">
        <v>10940000</v>
      </c>
    </row>
    <row r="17" spans="1:8">
      <c r="A17" t="s">
        <v>783</v>
      </c>
      <c r="B17" s="76">
        <v>414</v>
      </c>
      <c r="G17" t="s">
        <v>783</v>
      </c>
      <c r="H17" s="76">
        <v>38354550</v>
      </c>
    </row>
    <row r="32" spans="1:8">
      <c r="A32" s="75" t="s">
        <v>531</v>
      </c>
      <c r="B32" t="s">
        <v>781</v>
      </c>
      <c r="G32" s="75" t="s">
        <v>5</v>
      </c>
      <c r="H32" t="s">
        <v>784</v>
      </c>
    </row>
    <row r="33" spans="1:8">
      <c r="A33">
        <v>1.5</v>
      </c>
      <c r="B33" s="76">
        <v>132</v>
      </c>
      <c r="G33" t="s">
        <v>8</v>
      </c>
      <c r="H33" s="76">
        <v>0</v>
      </c>
    </row>
    <row r="34" spans="1:8">
      <c r="A34">
        <v>2</v>
      </c>
      <c r="B34" s="76">
        <v>145</v>
      </c>
      <c r="G34" t="s">
        <v>535</v>
      </c>
      <c r="H34" s="76">
        <v>4336000</v>
      </c>
    </row>
    <row r="35" spans="1:8">
      <c r="A35">
        <v>2.5</v>
      </c>
      <c r="B35" s="76">
        <v>137</v>
      </c>
      <c r="G35" t="s">
        <v>783</v>
      </c>
      <c r="H35" s="76">
        <v>4336000</v>
      </c>
    </row>
    <row r="36" spans="1:8">
      <c r="A36" t="s">
        <v>783</v>
      </c>
      <c r="B36" s="76">
        <v>414</v>
      </c>
    </row>
    <row r="45" spans="1:8">
      <c r="A45" s="75" t="s">
        <v>531</v>
      </c>
      <c r="B45" t="s">
        <v>781</v>
      </c>
    </row>
    <row r="46" spans="1:8">
      <c r="A46">
        <v>1.5</v>
      </c>
      <c r="B46" s="76">
        <v>132</v>
      </c>
    </row>
    <row r="47" spans="1:8">
      <c r="A47">
        <v>2</v>
      </c>
      <c r="B47" s="76">
        <v>145</v>
      </c>
    </row>
    <row r="48" spans="1:8">
      <c r="A48">
        <v>2.5</v>
      </c>
      <c r="B48" s="76">
        <v>137</v>
      </c>
    </row>
    <row r="49" spans="1:2">
      <c r="A49" t="s">
        <v>783</v>
      </c>
      <c r="B49" s="76">
        <v>414</v>
      </c>
    </row>
  </sheetData>
  <mergeCells count="2">
    <mergeCell ref="A3:H3"/>
    <mergeCell ref="I1:P1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2026-06-08T10:39:56Z</dcterms:created>
  <dcterms:modified xsi:type="dcterms:W3CDTF">2026-06-30T14:30:53Z</dcterms:modified>
  <cp:category/>
  <cp:contentStatus/>
</cp:coreProperties>
</file>